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ichau\OneDrive\Documentos\"/>
    </mc:Choice>
  </mc:AlternateContent>
  <xr:revisionPtr revIDLastSave="0" documentId="13_ncr:1_{BC0AFB17-5EB5-4FC5-A41E-20039EBC48F6}" xr6:coauthVersionLast="47" xr6:coauthVersionMax="47" xr10:uidLastSave="{00000000-0000-0000-0000-000000000000}"/>
  <bookViews>
    <workbookView xWindow="-120" yWindow="-120" windowWidth="29040" windowHeight="15720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1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3" l="1"/>
  <c r="I54" i="3"/>
  <c r="I53" i="3"/>
  <c r="I52" i="3"/>
  <c r="F40" i="3"/>
  <c r="F28" i="3"/>
</calcChain>
</file>

<file path=xl/sharedStrings.xml><?xml version="1.0" encoding="utf-8"?>
<sst xmlns="http://schemas.openxmlformats.org/spreadsheetml/2006/main" count="2531" uniqueCount="331">
  <si>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</si>
  <si>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</si>
  <si>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</si>
  <si>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</si>
  <si>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</si>
  <si>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</si>
  <si>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</si>
  <si>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</si>
  <si>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</si>
  <si>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</si>
  <si>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</si>
  <si>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</si>
  <si>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</si>
  <si>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</si>
  <si>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</si>
  <si>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</si>
  <si>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</si>
  <si>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</si>
  <si>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</si>
  <si>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</si>
  <si>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</si>
  <si>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</si>
  <si>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</si>
  <si>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</si>
  <si>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</si>
  <si>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</si>
  <si>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</si>
  <si>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</si>
  <si>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</si>
  <si>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</si>
  <si>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</si>
  <si>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</si>
  <si>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</si>
  <si>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</si>
  <si>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</si>
  <si>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</si>
  <si>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</si>
  <si>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</si>
  <si>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</si>
  <si>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</si>
  <si>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</si>
  <si>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</si>
  <si>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</si>
  <si>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</si>
  <si>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</si>
  <si>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</si>
  <si>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</si>
  <si>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</si>
  <si>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</si>
  <si>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</si>
  <si>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</si>
  <si>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</si>
  <si>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</si>
  <si>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</si>
  <si>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</si>
  <si>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</si>
  <si>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</si>
  <si>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</si>
  <si>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</si>
  <si>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</si>
  <si>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</si>
  <si>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</si>
  <si>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</si>
  <si>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</si>
  <si>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</si>
  <si>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</si>
  <si>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</si>
  <si>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</si>
  <si>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</si>
  <si>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</si>
  <si>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</si>
  <si>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</si>
  <si>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</si>
  <si>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</si>
  <si>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</si>
  <si>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</si>
  <si>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</si>
  <si>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</si>
  <si>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</si>
  <si>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</si>
  <si>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</si>
  <si>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</si>
  <si>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</si>
  <si>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</si>
  <si>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</si>
  <si>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</si>
  <si>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</si>
  <si>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</si>
  <si>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</si>
  <si>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</si>
  <si>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</si>
  <si>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</si>
  <si>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</si>
  <si>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</si>
  <si>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</si>
  <si>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</si>
  <si>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</si>
  <si>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</si>
  <si>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</si>
  <si>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</si>
  <si>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</si>
  <si>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</si>
  <si>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</si>
  <si>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</si>
  <si>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</si>
  <si>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</si>
  <si>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</si>
  <si>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</si>
  <si>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</si>
  <si>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</si>
  <si>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</si>
  <si>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</si>
  <si>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</si>
  <si>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</si>
  <si>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</si>
  <si>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</si>
  <si>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</si>
  <si>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</si>
  <si>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</si>
  <si>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</si>
  <si>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</si>
  <si>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</si>
  <si>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</si>
  <si>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</si>
  <si>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</si>
  <si>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</si>
  <si>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</si>
  <si>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</si>
  <si>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</si>
  <si>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</si>
  <si>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</si>
  <si>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</si>
  <si>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</si>
  <si>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</si>
  <si>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</si>
  <si>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</si>
  <si>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</si>
  <si>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</si>
  <si>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</si>
  <si>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</si>
  <si>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</si>
  <si>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</si>
  <si>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</si>
  <si>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</si>
  <si>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</si>
  <si>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</si>
  <si>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</si>
  <si>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</si>
  <si>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</si>
  <si>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</si>
  <si>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</si>
  <si>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</si>
  <si>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</si>
  <si>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</si>
  <si>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</si>
  <si>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</si>
  <si>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</si>
  <si>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</si>
  <si>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</si>
  <si>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</si>
  <si>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</si>
  <si>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</si>
  <si>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</si>
  <si>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</si>
  <si>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</si>
  <si>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</si>
  <si>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</si>
  <si>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</si>
  <si>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</si>
  <si>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</si>
  <si>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</si>
  <si>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</si>
  <si>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</si>
  <si>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</si>
  <si>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</si>
  <si>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</si>
  <si>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</si>
  <si>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</si>
  <si>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</si>
  <si>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</si>
  <si>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</si>
  <si>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</si>
  <si>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</si>
  <si>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</si>
  <si>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</si>
  <si>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</si>
  <si>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</si>
  <si>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</si>
  <si>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</si>
  <si>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</si>
  <si>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</si>
  <si>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</si>
  <si>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</si>
  <si>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</si>
  <si>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</si>
  <si>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</si>
  <si>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</si>
  <si>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</si>
  <si>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</si>
  <si>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</si>
  <si>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</si>
  <si>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</si>
  <si>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</si>
  <si>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</si>
  <si>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</si>
  <si>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</si>
  <si>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</si>
  <si>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</si>
  <si>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</si>
  <si>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</si>
  <si>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</si>
  <si>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</si>
  <si>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</si>
  <si>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</si>
  <si>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</si>
  <si>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</si>
  <si>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</si>
  <si>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</si>
  <si>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</si>
  <si>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</si>
  <si>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</si>
  <si>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</si>
  <si>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</si>
  <si>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</si>
  <si>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</si>
  <si>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</si>
  <si>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</si>
  <si>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</si>
  <si>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</si>
  <si>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</si>
  <si>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</si>
  <si>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</si>
  <si>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</si>
  <si>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</si>
  <si>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</si>
  <si>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</si>
  <si>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</si>
  <si>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</si>
  <si>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</si>
  <si>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</si>
  <si>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</si>
  <si>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</si>
  <si>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</si>
  <si>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</si>
  <si>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</si>
  <si>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</si>
  <si>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</si>
  <si>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</si>
  <si>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</si>
  <si>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</si>
  <si>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</si>
  <si>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</si>
  <si>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</si>
  <si>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</si>
  <si>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</si>
  <si>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</si>
  <si>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</si>
  <si>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</si>
  <si>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</si>
  <si>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</si>
  <si>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</si>
  <si>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</si>
  <si>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</si>
  <si>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</si>
  <si>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</si>
  <si>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</si>
  <si>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</si>
  <si>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</si>
  <si>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</si>
  <si>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</si>
  <si>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</si>
  <si>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</si>
  <si>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</si>
  <si>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</si>
  <si>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</si>
  <si>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</si>
  <si>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</si>
  <si>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</si>
  <si>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</si>
  <si>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</si>
  <si>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</si>
  <si>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</si>
  <si>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</si>
  <si>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</si>
  <si>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</si>
  <si>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</si>
  <si>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</si>
  <si>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</si>
  <si>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</si>
  <si>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</si>
  <si>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</si>
  <si>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</si>
  <si>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</si>
  <si>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</si>
  <si>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</si>
  <si>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</si>
  <si>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</si>
  <si>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</si>
  <si>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</si>
  <si>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</si>
  <si>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</si>
  <si>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</si>
  <si>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</si>
  <si>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</si>
  <si>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</si>
  <si>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</si>
  <si>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</si>
  <si>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</si>
  <si>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</si>
  <si>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</si>
  <si>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</si>
  <si>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</si>
  <si>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</si>
  <si>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</si>
  <si>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</si>
  <si>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</si>
  <si>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</si>
  <si>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t>Detalhes do Soma de Total Value - Subscription Type: Annual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</si>
  <si>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? (contendo todas as assinaturas agregadas) - R$ 1754,00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</si>
  <si>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separados por auto renovação e não é por auto renovação</t>
    </r>
    <r>
      <rPr>
        <sz val="11"/>
        <color theme="1"/>
        <rFont val="Aptos Narrow"/>
        <family val="2"/>
        <scheme val="minor"/>
      </rPr>
      <t>? - Auto Renewal: R$ 1537,00. No Auto Renewal: R$ 217,00</t>
    </r>
  </si>
  <si>
    <t>XBOX GAMEPASS SUBSCRIPTION SALES</t>
  </si>
  <si>
    <t>Pergunta de Negócio 3 - Total de Vendas de Assinaturas EA Play</t>
  </si>
  <si>
    <t>Soma de EA Play Season Pass</t>
  </si>
  <si>
    <t>Pergunta de Negócio 4 - Total de Vendas de Assinaturas do Minecraft Season Pass</t>
  </si>
  <si>
    <t>Soma de Minecraft Season Pass Price</t>
  </si>
  <si>
    <r>
      <rPr>
        <b/>
        <sz val="14"/>
        <color theme="2" tint="-0.749992370372631"/>
        <rFont val="Segoe UI"/>
        <family val="2"/>
      </rPr>
      <t>Calculation Period: 01/01/2024 - 12/31/2024 | Update Date: 17/10/2026, 10:35 PM</t>
    </r>
    <r>
      <rPr>
        <b/>
        <sz val="14"/>
        <color theme="1"/>
        <rFont val="Segoe UI"/>
        <family val="2"/>
      </rPr>
      <t xml:space="preserve"> </t>
    </r>
  </si>
  <si>
    <r>
      <t xml:space="preserve">Pergunta de Negócio 5 - Qual </t>
    </r>
    <r>
      <rPr>
        <b/>
        <sz val="11"/>
        <color theme="1"/>
        <rFont val="Aptos Narrow"/>
        <family val="2"/>
        <scheme val="minor"/>
      </rPr>
      <t>tipo de assinatura</t>
    </r>
    <r>
      <rPr>
        <sz val="11"/>
        <color theme="1"/>
        <rFont val="Aptos Narrow"/>
        <family val="2"/>
        <scheme val="minor"/>
      </rPr>
      <t xml:space="preserve"> gera o maior </t>
    </r>
    <r>
      <rPr>
        <b/>
        <sz val="11"/>
        <color theme="1"/>
        <rFont val="Aptos Narrow"/>
        <family val="2"/>
        <scheme val="minor"/>
      </rPr>
      <t>faturamento médio por assinante</t>
    </r>
    <r>
      <rPr>
        <sz val="11"/>
        <color theme="1"/>
        <rFont val="Aptos Narrow"/>
        <family val="2"/>
        <scheme val="minor"/>
      </rPr>
      <t>?</t>
    </r>
  </si>
  <si>
    <t>Contagem de Plan</t>
  </si>
  <si>
    <t>Average Revenue</t>
  </si>
  <si>
    <t>Total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</si>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</sst>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4"/>
      <color theme="2" tint="-0.749992370372631"/>
      <name val="Segoe UI"/>
      <family val="2"/>
    </font>
    <font>
      <sz val="11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2" xfId="1" applyFont="1" applyBorder="1"/>
    <xf numFmtId="0" fontId="1" fillId="0" borderId="2" xfId="1" applyBorder="1"/>
    <xf numFmtId="0" fontId="0" fillId="0" borderId="2" xfId="0" applyBorder="1"/>
    <xf numFmtId="0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0" fontId="0" fillId="8" borderId="0" xfId="0" applyFill="1"/>
    <xf numFmtId="165" fontId="0" fillId="0" borderId="0" xfId="0" applyNumberFormat="1" applyFont="1"/>
    <xf numFmtId="0" fontId="4" fillId="0" borderId="2" xfId="1" applyFont="1" applyBorder="1" applyAlignment="1">
      <alignment horizontal="left" indent="4"/>
    </xf>
    <xf numFmtId="0" fontId="6" fillId="8" borderId="0" xfId="0" applyFont="1" applyFill="1"/>
    <xf numFmtId="2" fontId="0" fillId="0" borderId="0" xfId="0" applyNumberFormat="1"/>
    <xf numFmtId="0" fontId="8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sz val="12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C28EEB6-9914-428B-986B-373790B08BC1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C̳álculos!$H$50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C̳álculos!$G$51:$G$54</c15:sqref>
                  </c15:fullRef>
                </c:ext>
              </c:extLst>
              <c:f>C̳álculos!$G$51:$G$53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C̳álculos!$H$51:$H$54</c15:sqref>
                  </c15:fullRef>
                </c:ext>
              </c:extLst>
              <c:f>C̳álculos!$H$51:$H$53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2-4B18-8811-A7073CC308F8}"/>
            </c:ext>
          </c:extLst>
        </c:ser>
        <c:ser>
          <c:idx val="1"/>
          <c:order val="1"/>
          <c:tx>
            <c:strRef>
              <c:f>C̳álculos!$I$50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C̳álculos!$G$51:$G$54</c15:sqref>
                  </c15:fullRef>
                </c:ext>
              </c:extLst>
              <c:f>C̳álculos!$G$51:$G$53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C̳álculos!$I$51:$I$54</c15:sqref>
                  </c15:fullRef>
                </c:ext>
              </c:extLst>
              <c:f>C̳álculos!$I$51:$I$53</c:f>
              <c:numCache>
                <c:formatCode>"R$"\ #,##0.00</c:formatCode>
                <c:ptCount val="3"/>
                <c:pt idx="0">
                  <c:v>5</c:v>
                </c:pt>
                <c:pt idx="1">
                  <c:v>16.592592592592592</c:v>
                </c:pt>
                <c:pt idx="2">
                  <c:v>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2-4B18-8811-A7073CC308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072415"/>
        <c:axId val="134072895"/>
      </c:barChart>
      <c:catAx>
        <c:axId val="13407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072895"/>
        <c:crosses val="autoZero"/>
        <c:auto val="1"/>
        <c:lblAlgn val="ctr"/>
        <c:lblOffset val="100"/>
        <c:noMultiLvlLbl val="0"/>
      </c:catAx>
      <c:valAx>
        <c:axId val="1340728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0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[projDashboardXbox.xlsx]C̳álculos!tbl_annual_total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4161612777126259E-2"/>
          <c:y val="2.5260694143083368E-2"/>
          <c:w val="0.93020383090411585"/>
          <c:h val="0.89854884599092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2C-48CA-9650-DF2E0C3B0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C-48CA-9650-DF2E0C3B0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5166767"/>
        <c:axId val="1275168687"/>
      </c:barChart>
      <c:catAx>
        <c:axId val="127516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5168687"/>
        <c:crosses val="autoZero"/>
        <c:auto val="1"/>
        <c:lblAlgn val="ctr"/>
        <c:lblOffset val="100"/>
        <c:noMultiLvlLbl val="0"/>
      </c:catAx>
      <c:valAx>
        <c:axId val="12751686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751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95647419072615"/>
          <c:y val="0"/>
          <c:w val="0.83748797025371824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C̳álculos!$H$50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C̳álculos!$G$51:$G$54</c15:sqref>
                  </c15:fullRef>
                </c:ext>
              </c:extLst>
              <c:f>C̳álculos!$G$51:$G$53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C̳álculos!$H$51:$H$54</c15:sqref>
                  </c15:fullRef>
                </c:ext>
              </c:extLst>
              <c:f>C̳álculos!$H$51:$H$53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7-4FC5-A3A8-B56A07E345AA}"/>
            </c:ext>
          </c:extLst>
        </c:ser>
        <c:ser>
          <c:idx val="1"/>
          <c:order val="1"/>
          <c:tx>
            <c:strRef>
              <c:f>C̳álculos!$I$50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C̳álculos!$G$51:$G$54</c15:sqref>
                  </c15:fullRef>
                </c:ext>
              </c:extLst>
              <c:f>C̳álculos!$G$51:$G$53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C̳álculos!$I$51:$I$54</c15:sqref>
                  </c15:fullRef>
                </c:ext>
              </c:extLst>
              <c:f>C̳álculos!$I$51:$I$53</c:f>
              <c:numCache>
                <c:formatCode>"R$"\ #,##0.00</c:formatCode>
                <c:ptCount val="3"/>
                <c:pt idx="0">
                  <c:v>5</c:v>
                </c:pt>
                <c:pt idx="1">
                  <c:v>16.592592592592592</c:v>
                </c:pt>
                <c:pt idx="2">
                  <c:v>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7-4FC5-A3A8-B56A07E34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072415"/>
        <c:axId val="134072895"/>
      </c:barChart>
      <c:catAx>
        <c:axId val="13407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072895"/>
        <c:crosses val="autoZero"/>
        <c:auto val="1"/>
        <c:lblAlgn val="ctr"/>
        <c:lblOffset val="100"/>
        <c:noMultiLvlLbl val="0"/>
      </c:catAx>
      <c:valAx>
        <c:axId val="1340728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0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451308</xdr:colOff>
      <xdr:row>18</xdr:row>
      <xdr:rowOff>161925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33BDD50-26E1-BAA7-7A2B-7A5F7707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428875"/>
          <a:ext cx="1670508" cy="1314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762000</xdr:colOff>
      <xdr:row>42</xdr:row>
      <xdr:rowOff>0</xdr:rowOff>
    </xdr:from>
    <xdr:to>
      <xdr:col>12</xdr:col>
      <xdr:colOff>0</xdr:colOff>
      <xdr:row>56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8DCBA8-A33A-059A-859E-F838236E2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95252</xdr:colOff>
      <xdr:row>20</xdr:row>
      <xdr:rowOff>189310</xdr:rowOff>
    </xdr:from>
    <xdr:to>
      <xdr:col>33</xdr:col>
      <xdr:colOff>273845</xdr:colOff>
      <xdr:row>48</xdr:row>
      <xdr:rowOff>129778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0D32126B-D2CF-4CD7-2294-2A5D5EE61370}"/>
            </a:ext>
          </a:extLst>
        </xdr:cNvPr>
        <xdr:cNvSpPr/>
      </xdr:nvSpPr>
      <xdr:spPr>
        <a:xfrm>
          <a:off x="11953877" y="3927873"/>
          <a:ext cx="9286874" cy="527446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83344</xdr:colOff>
      <xdr:row>20</xdr:row>
      <xdr:rowOff>189310</xdr:rowOff>
    </xdr:from>
    <xdr:to>
      <xdr:col>33</xdr:col>
      <xdr:colOff>273844</xdr:colOff>
      <xdr:row>25</xdr:row>
      <xdr:rowOff>70246</xdr:rowOff>
    </xdr:to>
    <xdr:sp macro="" textlink="">
      <xdr:nvSpPr>
        <xdr:cNvPr id="39" name="Retângulo: Cantos Superiores Arredondados 38">
          <a:extLst>
            <a:ext uri="{FF2B5EF4-FFF2-40B4-BE49-F238E27FC236}">
              <a16:creationId xmlns:a16="http://schemas.microsoft.com/office/drawing/2014/main" id="{7590300E-60E0-D27E-7FCB-70A4506D9255}"/>
            </a:ext>
          </a:extLst>
        </xdr:cNvPr>
        <xdr:cNvSpPr/>
      </xdr:nvSpPr>
      <xdr:spPr>
        <a:xfrm>
          <a:off x="11941969" y="3927873"/>
          <a:ext cx="9298781" cy="833436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+mn-lt"/>
            </a:rPr>
            <a:t>AVERAGE</a:t>
          </a:r>
          <a:r>
            <a:rPr lang="pt-BR" sz="1800" b="1" baseline="0">
              <a:latin typeface="+mn-lt"/>
            </a:rPr>
            <a:t> REVENUE PER SUBSCRIPTION BY PLAN</a:t>
          </a:r>
          <a:endParaRPr lang="pt-BR" sz="1800" b="1">
            <a:latin typeface="+mn-lt"/>
          </a:endParaRPr>
        </a:p>
      </xdr:txBody>
    </xdr:sp>
    <xdr:clientData/>
  </xdr:twoCellAnchor>
  <xdr:twoCellAnchor editAs="absolute">
    <xdr:from>
      <xdr:col>0</xdr:col>
      <xdr:colOff>1985960</xdr:colOff>
      <xdr:row>0</xdr:row>
      <xdr:rowOff>23813</xdr:rowOff>
    </xdr:from>
    <xdr:to>
      <xdr:col>2</xdr:col>
      <xdr:colOff>354801</xdr:colOff>
      <xdr:row>4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662EA6-AFF9-4615-BF71-A58DA2C0F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9" t="19273" r="72763" b="22907"/>
        <a:stretch>
          <a:fillRect/>
        </a:stretch>
      </xdr:blipFill>
      <xdr:spPr>
        <a:xfrm>
          <a:off x="1985960" y="23813"/>
          <a:ext cx="678654" cy="678656"/>
        </a:xfrm>
        <a:prstGeom prst="rect">
          <a:avLst/>
        </a:prstGeom>
      </xdr:spPr>
    </xdr:pic>
    <xdr:clientData/>
  </xdr:twoCellAnchor>
  <xdr:twoCellAnchor>
    <xdr:from>
      <xdr:col>1</xdr:col>
      <xdr:colOff>166684</xdr:colOff>
      <xdr:row>20</xdr:row>
      <xdr:rowOff>189310</xdr:rowOff>
    </xdr:from>
    <xdr:to>
      <xdr:col>17</xdr:col>
      <xdr:colOff>285748</xdr:colOff>
      <xdr:row>49</xdr:row>
      <xdr:rowOff>165496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009D1461-92A7-0440-75EB-B752C6798CDF}"/>
            </a:ext>
          </a:extLst>
        </xdr:cNvPr>
        <xdr:cNvGrpSpPr/>
      </xdr:nvGrpSpPr>
      <xdr:grpSpPr>
        <a:xfrm>
          <a:off x="2248577" y="3944881"/>
          <a:ext cx="9371921" cy="5500686"/>
          <a:chOff x="2238372" y="3929063"/>
          <a:chExt cx="9298782" cy="550068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BBFE88F-5BC6-D9CD-6EAB-C35EC615F7B6}"/>
              </a:ext>
            </a:extLst>
          </xdr:cNvPr>
          <xdr:cNvSpPr/>
        </xdr:nvSpPr>
        <xdr:spPr>
          <a:xfrm>
            <a:off x="2250280" y="3929063"/>
            <a:ext cx="9286874" cy="527446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CCCBDD5C-01B2-AC4D-A875-9A2FC28DD75A}"/>
              </a:ext>
            </a:extLst>
          </xdr:cNvPr>
          <xdr:cNvSpPr/>
        </xdr:nvSpPr>
        <xdr:spPr>
          <a:xfrm>
            <a:off x="2238372" y="3929063"/>
            <a:ext cx="9298781" cy="83343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+mn-lt"/>
              </a:rPr>
              <a:t>TOTAL</a:t>
            </a:r>
            <a:r>
              <a:rPr lang="pt-BR" sz="1800" b="1" baseline="0">
                <a:latin typeface="+mn-lt"/>
              </a:rPr>
              <a:t> SUBSCRIPTIONS XBOX GAMEPASS</a:t>
            </a:r>
            <a:endParaRPr lang="pt-BR" sz="1800" b="1">
              <a:latin typeface="+mn-lt"/>
            </a:endParaRPr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5EC90D8-DC1E-4836-8476-563982AEB800}"/>
              </a:ext>
            </a:extLst>
          </xdr:cNvPr>
          <xdr:cNvGraphicFramePr>
            <a:graphicFrameLocks/>
          </xdr:cNvGraphicFramePr>
        </xdr:nvGraphicFramePr>
        <xdr:xfrm>
          <a:off x="2345532" y="4762498"/>
          <a:ext cx="8953500" cy="46672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oneCellAnchor>
    <xdr:from>
      <xdr:col>0</xdr:col>
      <xdr:colOff>1</xdr:colOff>
      <xdr:row>10</xdr:row>
      <xdr:rowOff>71437</xdr:rowOff>
    </xdr:from>
    <xdr:ext cx="2071687" cy="3167063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FB63522-5BBB-4B71-84BF-099883F42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922008"/>
              <a:ext cx="2071687" cy="3167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oneCellAnchor>
  <xdr:twoCellAnchor>
    <xdr:from>
      <xdr:col>1</xdr:col>
      <xdr:colOff>154780</xdr:colOff>
      <xdr:row>8</xdr:row>
      <xdr:rowOff>23812</xdr:rowOff>
    </xdr:from>
    <xdr:to>
      <xdr:col>11</xdr:col>
      <xdr:colOff>416719</xdr:colOff>
      <xdr:row>16</xdr:row>
      <xdr:rowOff>139898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04FFEA4-E3AA-7E06-DF13-4D68D7E56295}"/>
            </a:ext>
          </a:extLst>
        </xdr:cNvPr>
        <xdr:cNvGrpSpPr/>
      </xdr:nvGrpSpPr>
      <xdr:grpSpPr>
        <a:xfrm>
          <a:off x="2236673" y="1262062"/>
          <a:ext cx="6017760" cy="1871407"/>
          <a:chOff x="2226468" y="952500"/>
          <a:chExt cx="5965032" cy="186630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FA8B427-70B1-C38E-74A0-9F678A97BA82}"/>
              </a:ext>
            </a:extLst>
          </xdr:cNvPr>
          <xdr:cNvSpPr/>
        </xdr:nvSpPr>
        <xdr:spPr>
          <a:xfrm>
            <a:off x="2238373" y="1143000"/>
            <a:ext cx="5953127" cy="1643063"/>
          </a:xfrm>
          <a:prstGeom prst="roundRect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8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A8BF00A4-3ED4-C0D7-77CA-29BB0DB4488A}"/>
              </a:ext>
            </a:extLst>
          </xdr:cNvPr>
          <xdr:cNvSpPr/>
        </xdr:nvSpPr>
        <xdr:spPr>
          <a:xfrm>
            <a:off x="3736182" y="1175741"/>
            <a:ext cx="3181350" cy="16430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BFA8E27-08A2-4FBA-925A-C60E403EB5FF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4000" b="1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CC959055-F49D-41F8-9FC2-CA69F619AF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9336" y="1257894"/>
            <a:ext cx="1478757" cy="1478757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09106A0-C6DD-5F62-617D-F6995045C2EE}"/>
              </a:ext>
            </a:extLst>
          </xdr:cNvPr>
          <xdr:cNvSpPr/>
        </xdr:nvSpPr>
        <xdr:spPr>
          <a:xfrm>
            <a:off x="2226468" y="952500"/>
            <a:ext cx="5965031" cy="41671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488154</xdr:colOff>
      <xdr:row>8</xdr:row>
      <xdr:rowOff>23812</xdr:rowOff>
    </xdr:from>
    <xdr:to>
      <xdr:col>22</xdr:col>
      <xdr:colOff>380998</xdr:colOff>
      <xdr:row>16</xdr:row>
      <xdr:rowOff>139898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BF41F02-3931-57DD-BF3E-95EDC9F30A3C}"/>
            </a:ext>
          </a:extLst>
        </xdr:cNvPr>
        <xdr:cNvGrpSpPr/>
      </xdr:nvGrpSpPr>
      <xdr:grpSpPr>
        <a:xfrm>
          <a:off x="8761297" y="1262062"/>
          <a:ext cx="6016058" cy="1871407"/>
          <a:chOff x="8703467" y="952500"/>
          <a:chExt cx="5965031" cy="1866304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D813D507-68B8-B8DC-E298-50360D6D6744}"/>
              </a:ext>
            </a:extLst>
          </xdr:cNvPr>
          <xdr:cNvSpPr/>
        </xdr:nvSpPr>
        <xdr:spPr>
          <a:xfrm>
            <a:off x="8703467" y="1143000"/>
            <a:ext cx="5953127" cy="1643063"/>
          </a:xfrm>
          <a:prstGeom prst="roundRect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0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38B9D97-5DE3-A530-BDC5-5E8CD5EA5D79}"/>
              </a:ext>
            </a:extLst>
          </xdr:cNvPr>
          <xdr:cNvSpPr/>
        </xdr:nvSpPr>
        <xdr:spPr>
          <a:xfrm>
            <a:off x="10236994" y="1175741"/>
            <a:ext cx="3181350" cy="16430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59AB745-CCAA-40BC-9737-2E69F2320D92}" type="TxLink">
              <a:rPr lang="en-US" sz="4000" b="1" i="0" u="none" strike="noStrike">
                <a:solidFill>
                  <a:srgbClr val="22C55E"/>
                </a:solidFill>
                <a:latin typeface="+mn-lt"/>
                <a:cs typeface="Segoe UI"/>
              </a:rPr>
              <a:t>R$ 940,00</a:t>
            </a:fld>
            <a:endParaRPr lang="en-US" sz="4000" b="1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B691E212-C34D-A389-5006-F652051C7126}"/>
              </a:ext>
            </a:extLst>
          </xdr:cNvPr>
          <xdr:cNvSpPr/>
        </xdr:nvSpPr>
        <xdr:spPr>
          <a:xfrm>
            <a:off x="8703467" y="952500"/>
            <a:ext cx="5965031" cy="41671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553A7EAE-89A6-4B37-936C-06F14A14260D}"/>
              </a:ext>
            </a:extLst>
          </xdr:cNvPr>
          <xdr:cNvGrpSpPr/>
        </xdr:nvGrpSpPr>
        <xdr:grpSpPr>
          <a:xfrm>
            <a:off x="8822531" y="1649909"/>
            <a:ext cx="1414463" cy="694727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D142A2D7-E032-E2CB-89C9-9616DC4C0A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F01701EB-0DF7-B963-118B-4CA20562A2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409573</xdr:colOff>
      <xdr:row>0</xdr:row>
      <xdr:rowOff>23813</xdr:rowOff>
    </xdr:from>
    <xdr:to>
      <xdr:col>0</xdr:col>
      <xdr:colOff>1747834</xdr:colOff>
      <xdr:row>7</xdr:row>
      <xdr:rowOff>11907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F61AF778-7DD8-489E-A6AF-F92393CD72BD}"/>
            </a:ext>
          </a:extLst>
        </xdr:cNvPr>
        <xdr:cNvSpPr/>
      </xdr:nvSpPr>
      <xdr:spPr>
        <a:xfrm>
          <a:off x="409573" y="23813"/>
          <a:ext cx="1338261" cy="109537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8</xdr:row>
      <xdr:rowOff>190500</xdr:rowOff>
    </xdr:from>
    <xdr:to>
      <xdr:col>1</xdr:col>
      <xdr:colOff>-1</xdr:colOff>
      <xdr:row>10</xdr:row>
      <xdr:rowOff>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D92D229-CAFC-50F6-BF9D-218E859D43ED}"/>
            </a:ext>
          </a:extLst>
        </xdr:cNvPr>
        <xdr:cNvSpPr/>
      </xdr:nvSpPr>
      <xdr:spPr>
        <a:xfrm>
          <a:off x="0" y="1119188"/>
          <a:ext cx="2071687" cy="416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Bem</a:t>
          </a:r>
          <a:r>
            <a:rPr lang="pt-BR" sz="1400" baseline="0"/>
            <a:t> vindo(a), Gestor!</a:t>
          </a:r>
          <a:endParaRPr lang="pt-BR" sz="1400"/>
        </a:p>
      </xdr:txBody>
    </xdr:sp>
    <xdr:clientData/>
  </xdr:twoCellAnchor>
  <xdr:twoCellAnchor>
    <xdr:from>
      <xdr:col>17</xdr:col>
      <xdr:colOff>333372</xdr:colOff>
      <xdr:row>25</xdr:row>
      <xdr:rowOff>70245</xdr:rowOff>
    </xdr:from>
    <xdr:to>
      <xdr:col>32</xdr:col>
      <xdr:colOff>416715</xdr:colOff>
      <xdr:row>49</xdr:row>
      <xdr:rowOff>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C1A87A42-2BBD-4E1E-8B65-20771EEDF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333375</xdr:colOff>
      <xdr:row>8</xdr:row>
      <xdr:rowOff>0</xdr:rowOff>
    </xdr:from>
    <xdr:to>
      <xdr:col>33</xdr:col>
      <xdr:colOff>226219</xdr:colOff>
      <xdr:row>16</xdr:row>
      <xdr:rowOff>116086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FE432B13-B77E-47FF-18AD-A98B3B22A754}"/>
            </a:ext>
          </a:extLst>
        </xdr:cNvPr>
        <xdr:cNvGrpSpPr/>
      </xdr:nvGrpSpPr>
      <xdr:grpSpPr>
        <a:xfrm>
          <a:off x="15342054" y="1238250"/>
          <a:ext cx="6016058" cy="1871407"/>
          <a:chOff x="15228094" y="1226344"/>
          <a:chExt cx="5965031" cy="1866305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D803BBB5-83DF-6D41-C141-0DC22930A8D2}"/>
              </a:ext>
            </a:extLst>
          </xdr:cNvPr>
          <xdr:cNvSpPr/>
        </xdr:nvSpPr>
        <xdr:spPr>
          <a:xfrm>
            <a:off x="15228094" y="1416844"/>
            <a:ext cx="5953127" cy="1643064"/>
          </a:xfrm>
          <a:prstGeom prst="roundRect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$I$53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A6710DA5-BBF7-4740-3A56-4552653DD4AE}"/>
              </a:ext>
            </a:extLst>
          </xdr:cNvPr>
          <xdr:cNvSpPr/>
        </xdr:nvSpPr>
        <xdr:spPr>
          <a:xfrm>
            <a:off x="16761621" y="1449585"/>
            <a:ext cx="3181350" cy="164306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B6590DD-4243-479F-9654-DF638BB8FEC8}" type="TxLink">
              <a:rPr lang="en-US" sz="4000" b="1" i="0" u="none" strike="noStrike">
                <a:solidFill>
                  <a:srgbClr val="22C55E"/>
                </a:solidFill>
                <a:latin typeface="Aptos Narrow"/>
                <a:cs typeface="Segoe UI"/>
              </a:rPr>
              <a:t>R$ 59,30</a:t>
            </a:fld>
            <a:endParaRPr lang="en-US" sz="4000" b="1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3C67D7A9-44A2-80E3-A562-050493D86691}"/>
              </a:ext>
            </a:extLst>
          </xdr:cNvPr>
          <xdr:cNvSpPr/>
        </xdr:nvSpPr>
        <xdr:spPr>
          <a:xfrm>
            <a:off x="15228094" y="1226344"/>
            <a:ext cx="5965031" cy="41671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HIGHEST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AVERAGE REVENUE BY PLAN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49" name="Imagem 48">
            <a:extLst>
              <a:ext uri="{FF2B5EF4-FFF2-40B4-BE49-F238E27FC236}">
                <a16:creationId xmlns:a16="http://schemas.microsoft.com/office/drawing/2014/main" id="{E7B461F0-F187-42BE-9824-B65369F27C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57801" y="1613892"/>
            <a:ext cx="1670508" cy="131445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Breno Martins" refreshedDate="46312.60884479167" createdVersion="8" refreshedVersion="8" minRefreshableVersion="3" recordCount="295" xr:uid="{9ED29CB2-9D10-4E12-B10A-F1DAC0DDE705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ticket_medio" numFmtId="0" formula="'Total Value' /1" databaseField="0"/>
  </cacheFields>
  <extLst>
    <ext xmlns:x14="http://schemas.microsoft.com/office/spreadsheetml/2009/9/main" uri="{725AE2AE-9491-48be-B2B4-4EB974FC3084}">
      <x14:pivotCacheDefinition pivotCacheId="16079773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x v="0"/>
    <x v="0"/>
  </r>
  <r>
    <n v="3232"/>
    <x v="1"/>
    <x v="1"/>
    <d v="2024-01-15T00:00:00"/>
    <x v="1"/>
    <n v="5"/>
    <x v="1"/>
    <x v="1"/>
    <x v="1"/>
    <s v="No"/>
    <n v="0"/>
    <x v="1"/>
    <x v="1"/>
  </r>
  <r>
    <n v="3233"/>
    <x v="2"/>
    <x v="2"/>
    <d v="2024-02-10T00:00:00"/>
    <x v="0"/>
    <n v="10"/>
    <x v="2"/>
    <x v="1"/>
    <x v="1"/>
    <s v="Yes"/>
    <n v="20"/>
    <x v="2"/>
    <x v="2"/>
  </r>
  <r>
    <n v="3234"/>
    <x v="3"/>
    <x v="0"/>
    <d v="2024-02-20T00:00:00"/>
    <x v="1"/>
    <n v="15"/>
    <x v="0"/>
    <x v="0"/>
    <x v="0"/>
    <s v="Yes"/>
    <n v="20"/>
    <x v="3"/>
    <x v="3"/>
  </r>
  <r>
    <n v="3235"/>
    <x v="4"/>
    <x v="1"/>
    <d v="2024-03-05T00:00:00"/>
    <x v="0"/>
    <n v="5"/>
    <x v="0"/>
    <x v="1"/>
    <x v="1"/>
    <s v="No"/>
    <n v="0"/>
    <x v="4"/>
    <x v="4"/>
  </r>
  <r>
    <n v="3236"/>
    <x v="5"/>
    <x v="2"/>
    <d v="2024-03-02T00:00:00"/>
    <x v="1"/>
    <n v="10"/>
    <x v="0"/>
    <x v="1"/>
    <x v="1"/>
    <s v="Yes"/>
    <n v="20"/>
    <x v="5"/>
    <x v="5"/>
  </r>
  <r>
    <n v="3237"/>
    <x v="6"/>
    <x v="0"/>
    <d v="2024-03-03T00:00:00"/>
    <x v="0"/>
    <n v="15"/>
    <x v="2"/>
    <x v="0"/>
    <x v="0"/>
    <s v="Yes"/>
    <n v="20"/>
    <x v="2"/>
    <x v="6"/>
  </r>
  <r>
    <n v="3238"/>
    <x v="7"/>
    <x v="1"/>
    <d v="2024-03-04T00:00:00"/>
    <x v="0"/>
    <n v="5"/>
    <x v="1"/>
    <x v="1"/>
    <x v="1"/>
    <s v="No"/>
    <n v="0"/>
    <x v="1"/>
    <x v="1"/>
  </r>
  <r>
    <n v="3239"/>
    <x v="8"/>
    <x v="0"/>
    <d v="2024-03-05T00:00:00"/>
    <x v="1"/>
    <n v="15"/>
    <x v="0"/>
    <x v="0"/>
    <x v="0"/>
    <s v="Yes"/>
    <n v="20"/>
    <x v="0"/>
    <x v="0"/>
  </r>
  <r>
    <n v="3240"/>
    <x v="9"/>
    <x v="2"/>
    <d v="2024-03-06T00:00:00"/>
    <x v="0"/>
    <n v="10"/>
    <x v="2"/>
    <x v="1"/>
    <x v="1"/>
    <s v="Yes"/>
    <n v="20"/>
    <x v="6"/>
    <x v="7"/>
  </r>
  <r>
    <n v="3241"/>
    <x v="10"/>
    <x v="1"/>
    <d v="2024-03-07T00:00:00"/>
    <x v="1"/>
    <n v="5"/>
    <x v="0"/>
    <x v="1"/>
    <x v="1"/>
    <s v="No"/>
    <n v="0"/>
    <x v="4"/>
    <x v="4"/>
  </r>
  <r>
    <n v="3242"/>
    <x v="11"/>
    <x v="0"/>
    <d v="2024-03-08T00:00:00"/>
    <x v="0"/>
    <n v="15"/>
    <x v="1"/>
    <x v="0"/>
    <x v="0"/>
    <s v="Yes"/>
    <n v="20"/>
    <x v="7"/>
    <x v="8"/>
  </r>
  <r>
    <n v="3243"/>
    <x v="12"/>
    <x v="2"/>
    <d v="2024-03-09T00:00:00"/>
    <x v="1"/>
    <n v="10"/>
    <x v="0"/>
    <x v="1"/>
    <x v="1"/>
    <s v="Yes"/>
    <n v="20"/>
    <x v="2"/>
    <x v="2"/>
  </r>
  <r>
    <n v="3244"/>
    <x v="13"/>
    <x v="1"/>
    <d v="2024-03-10T00:00:00"/>
    <x v="0"/>
    <n v="5"/>
    <x v="2"/>
    <x v="1"/>
    <x v="1"/>
    <s v="No"/>
    <n v="0"/>
    <x v="1"/>
    <x v="1"/>
  </r>
  <r>
    <n v="3245"/>
    <x v="14"/>
    <x v="0"/>
    <d v="2024-03-11T00:00:00"/>
    <x v="1"/>
    <n v="15"/>
    <x v="0"/>
    <x v="0"/>
    <x v="0"/>
    <s v="Yes"/>
    <n v="20"/>
    <x v="8"/>
    <x v="9"/>
  </r>
  <r>
    <n v="3246"/>
    <x v="15"/>
    <x v="2"/>
    <d v="2024-03-12T00:00:00"/>
    <x v="0"/>
    <n v="10"/>
    <x v="1"/>
    <x v="1"/>
    <x v="1"/>
    <s v="Yes"/>
    <n v="20"/>
    <x v="9"/>
    <x v="10"/>
  </r>
  <r>
    <n v="3247"/>
    <x v="16"/>
    <x v="1"/>
    <d v="2024-03-13T00:00:00"/>
    <x v="1"/>
    <n v="5"/>
    <x v="0"/>
    <x v="1"/>
    <x v="1"/>
    <s v="No"/>
    <n v="0"/>
    <x v="5"/>
    <x v="11"/>
  </r>
  <r>
    <n v="3248"/>
    <x v="17"/>
    <x v="0"/>
    <d v="2024-03-14T00:00:00"/>
    <x v="0"/>
    <n v="15"/>
    <x v="2"/>
    <x v="0"/>
    <x v="0"/>
    <s v="Yes"/>
    <n v="20"/>
    <x v="10"/>
    <x v="12"/>
  </r>
  <r>
    <n v="3249"/>
    <x v="18"/>
    <x v="2"/>
    <d v="2024-03-15T00:00:00"/>
    <x v="1"/>
    <n v="10"/>
    <x v="0"/>
    <x v="1"/>
    <x v="1"/>
    <s v="Yes"/>
    <n v="20"/>
    <x v="0"/>
    <x v="13"/>
  </r>
  <r>
    <n v="3250"/>
    <x v="19"/>
    <x v="1"/>
    <d v="2024-03-16T00:00:00"/>
    <x v="0"/>
    <n v="5"/>
    <x v="1"/>
    <x v="1"/>
    <x v="1"/>
    <s v="No"/>
    <n v="0"/>
    <x v="1"/>
    <x v="1"/>
  </r>
  <r>
    <n v="3251"/>
    <x v="20"/>
    <x v="0"/>
    <d v="2024-03-17T00:00:00"/>
    <x v="1"/>
    <n v="15"/>
    <x v="0"/>
    <x v="0"/>
    <x v="0"/>
    <s v="Yes"/>
    <n v="20"/>
    <x v="3"/>
    <x v="3"/>
  </r>
  <r>
    <n v="3252"/>
    <x v="21"/>
    <x v="2"/>
    <d v="2024-03-18T00:00:00"/>
    <x v="0"/>
    <n v="10"/>
    <x v="2"/>
    <x v="1"/>
    <x v="1"/>
    <s v="Yes"/>
    <n v="20"/>
    <x v="6"/>
    <x v="7"/>
  </r>
  <r>
    <n v="3253"/>
    <x v="22"/>
    <x v="1"/>
    <d v="2024-03-19T00:00:00"/>
    <x v="1"/>
    <n v="5"/>
    <x v="0"/>
    <x v="1"/>
    <x v="1"/>
    <s v="No"/>
    <n v="0"/>
    <x v="4"/>
    <x v="4"/>
  </r>
  <r>
    <n v="3254"/>
    <x v="23"/>
    <x v="0"/>
    <d v="2024-03-20T00:00:00"/>
    <x v="0"/>
    <n v="15"/>
    <x v="1"/>
    <x v="0"/>
    <x v="0"/>
    <s v="Yes"/>
    <n v="20"/>
    <x v="7"/>
    <x v="8"/>
  </r>
  <r>
    <n v="3255"/>
    <x v="24"/>
    <x v="2"/>
    <d v="2024-03-21T00:00:00"/>
    <x v="1"/>
    <n v="10"/>
    <x v="0"/>
    <x v="1"/>
    <x v="1"/>
    <s v="Yes"/>
    <n v="20"/>
    <x v="2"/>
    <x v="2"/>
  </r>
  <r>
    <n v="3256"/>
    <x v="25"/>
    <x v="1"/>
    <d v="2024-03-22T00:00:00"/>
    <x v="0"/>
    <n v="5"/>
    <x v="2"/>
    <x v="1"/>
    <x v="1"/>
    <s v="No"/>
    <n v="0"/>
    <x v="1"/>
    <x v="1"/>
  </r>
  <r>
    <n v="3257"/>
    <x v="26"/>
    <x v="0"/>
    <d v="2024-03-23T00:00:00"/>
    <x v="1"/>
    <n v="15"/>
    <x v="0"/>
    <x v="0"/>
    <x v="0"/>
    <s v="Yes"/>
    <n v="20"/>
    <x v="0"/>
    <x v="0"/>
  </r>
  <r>
    <n v="3258"/>
    <x v="27"/>
    <x v="2"/>
    <d v="2024-03-24T00:00:00"/>
    <x v="0"/>
    <n v="10"/>
    <x v="1"/>
    <x v="1"/>
    <x v="1"/>
    <s v="Yes"/>
    <n v="20"/>
    <x v="6"/>
    <x v="7"/>
  </r>
  <r>
    <n v="3259"/>
    <x v="28"/>
    <x v="1"/>
    <d v="2024-03-25T00:00:00"/>
    <x v="1"/>
    <n v="5"/>
    <x v="0"/>
    <x v="1"/>
    <x v="1"/>
    <s v="No"/>
    <n v="0"/>
    <x v="4"/>
    <x v="4"/>
  </r>
  <r>
    <n v="3260"/>
    <x v="29"/>
    <x v="0"/>
    <d v="2024-03-26T00:00:00"/>
    <x v="0"/>
    <n v="15"/>
    <x v="2"/>
    <x v="0"/>
    <x v="0"/>
    <s v="Yes"/>
    <n v="20"/>
    <x v="10"/>
    <x v="12"/>
  </r>
  <r>
    <n v="3261"/>
    <x v="30"/>
    <x v="2"/>
    <d v="2024-03-27T00:00:00"/>
    <x v="1"/>
    <n v="10"/>
    <x v="0"/>
    <x v="1"/>
    <x v="1"/>
    <s v="Yes"/>
    <n v="20"/>
    <x v="2"/>
    <x v="2"/>
  </r>
  <r>
    <n v="3262"/>
    <x v="31"/>
    <x v="1"/>
    <d v="2024-03-28T00:00:00"/>
    <x v="0"/>
    <n v="5"/>
    <x v="1"/>
    <x v="1"/>
    <x v="1"/>
    <s v="No"/>
    <n v="0"/>
    <x v="1"/>
    <x v="1"/>
  </r>
  <r>
    <n v="3263"/>
    <x v="32"/>
    <x v="0"/>
    <d v="2024-03-29T00:00:00"/>
    <x v="1"/>
    <n v="15"/>
    <x v="0"/>
    <x v="0"/>
    <x v="0"/>
    <s v="Yes"/>
    <n v="20"/>
    <x v="3"/>
    <x v="3"/>
  </r>
  <r>
    <n v="3264"/>
    <x v="33"/>
    <x v="2"/>
    <d v="2024-03-30T00:00:00"/>
    <x v="0"/>
    <n v="10"/>
    <x v="2"/>
    <x v="1"/>
    <x v="1"/>
    <s v="Yes"/>
    <n v="20"/>
    <x v="6"/>
    <x v="7"/>
  </r>
  <r>
    <n v="3265"/>
    <x v="34"/>
    <x v="1"/>
    <d v="2024-03-31T00:00:00"/>
    <x v="1"/>
    <n v="5"/>
    <x v="0"/>
    <x v="1"/>
    <x v="1"/>
    <s v="No"/>
    <n v="0"/>
    <x v="4"/>
    <x v="4"/>
  </r>
  <r>
    <n v="3266"/>
    <x v="35"/>
    <x v="1"/>
    <d v="2024-04-01T00:00:00"/>
    <x v="0"/>
    <n v="5"/>
    <x v="0"/>
    <x v="1"/>
    <x v="1"/>
    <s v="No"/>
    <n v="0"/>
    <x v="1"/>
    <x v="1"/>
  </r>
  <r>
    <n v="3267"/>
    <x v="36"/>
    <x v="0"/>
    <d v="2024-04-02T00:00:00"/>
    <x v="1"/>
    <n v="15"/>
    <x v="2"/>
    <x v="0"/>
    <x v="0"/>
    <s v="Yes"/>
    <n v="20"/>
    <x v="10"/>
    <x v="12"/>
  </r>
  <r>
    <n v="3268"/>
    <x v="37"/>
    <x v="2"/>
    <d v="2024-04-03T00:00:00"/>
    <x v="0"/>
    <n v="10"/>
    <x v="1"/>
    <x v="1"/>
    <x v="1"/>
    <s v="Yes"/>
    <n v="20"/>
    <x v="2"/>
    <x v="2"/>
  </r>
  <r>
    <n v="3269"/>
    <x v="38"/>
    <x v="1"/>
    <d v="2024-04-04T00:00:00"/>
    <x v="1"/>
    <n v="5"/>
    <x v="2"/>
    <x v="1"/>
    <x v="1"/>
    <s v="No"/>
    <n v="0"/>
    <x v="4"/>
    <x v="4"/>
  </r>
  <r>
    <n v="3270"/>
    <x v="39"/>
    <x v="0"/>
    <d v="2024-04-05T00:00:00"/>
    <x v="0"/>
    <n v="15"/>
    <x v="0"/>
    <x v="0"/>
    <x v="0"/>
    <s v="Yes"/>
    <n v="20"/>
    <x v="6"/>
    <x v="14"/>
  </r>
  <r>
    <n v="3271"/>
    <x v="40"/>
    <x v="2"/>
    <d v="2024-04-06T00:00:00"/>
    <x v="1"/>
    <n v="10"/>
    <x v="0"/>
    <x v="1"/>
    <x v="1"/>
    <s v="Yes"/>
    <n v="20"/>
    <x v="0"/>
    <x v="13"/>
  </r>
  <r>
    <n v="3272"/>
    <x v="41"/>
    <x v="1"/>
    <d v="2024-04-07T00:00:00"/>
    <x v="0"/>
    <n v="5"/>
    <x v="1"/>
    <x v="1"/>
    <x v="1"/>
    <s v="No"/>
    <n v="0"/>
    <x v="1"/>
    <x v="1"/>
  </r>
  <r>
    <n v="3273"/>
    <x v="42"/>
    <x v="0"/>
    <d v="2024-04-08T00:00:00"/>
    <x v="1"/>
    <n v="15"/>
    <x v="2"/>
    <x v="0"/>
    <x v="0"/>
    <s v="Yes"/>
    <n v="20"/>
    <x v="7"/>
    <x v="8"/>
  </r>
  <r>
    <n v="3274"/>
    <x v="43"/>
    <x v="2"/>
    <d v="2024-04-09T00:00:00"/>
    <x v="0"/>
    <n v="10"/>
    <x v="2"/>
    <x v="1"/>
    <x v="1"/>
    <s v="Yes"/>
    <n v="20"/>
    <x v="9"/>
    <x v="10"/>
  </r>
  <r>
    <n v="3275"/>
    <x v="44"/>
    <x v="1"/>
    <d v="2024-04-10T00:00:00"/>
    <x v="1"/>
    <n v="5"/>
    <x v="0"/>
    <x v="1"/>
    <x v="1"/>
    <s v="No"/>
    <n v="0"/>
    <x v="5"/>
    <x v="11"/>
  </r>
  <r>
    <n v="3276"/>
    <x v="45"/>
    <x v="0"/>
    <d v="2024-04-11T00:00:00"/>
    <x v="0"/>
    <n v="15"/>
    <x v="1"/>
    <x v="0"/>
    <x v="0"/>
    <s v="Yes"/>
    <n v="20"/>
    <x v="0"/>
    <x v="0"/>
  </r>
  <r>
    <n v="3277"/>
    <x v="46"/>
    <x v="2"/>
    <d v="2024-04-12T00:00:00"/>
    <x v="1"/>
    <n v="10"/>
    <x v="0"/>
    <x v="1"/>
    <x v="1"/>
    <s v="Yes"/>
    <n v="20"/>
    <x v="2"/>
    <x v="2"/>
  </r>
  <r>
    <n v="3278"/>
    <x v="47"/>
    <x v="1"/>
    <d v="2024-04-13T00:00:00"/>
    <x v="0"/>
    <n v="5"/>
    <x v="2"/>
    <x v="1"/>
    <x v="1"/>
    <s v="No"/>
    <n v="0"/>
    <x v="1"/>
    <x v="1"/>
  </r>
  <r>
    <n v="3279"/>
    <x v="48"/>
    <x v="0"/>
    <d v="2024-04-14T00:00:00"/>
    <x v="1"/>
    <n v="15"/>
    <x v="0"/>
    <x v="0"/>
    <x v="0"/>
    <s v="Yes"/>
    <n v="20"/>
    <x v="3"/>
    <x v="3"/>
  </r>
  <r>
    <n v="3280"/>
    <x v="49"/>
    <x v="2"/>
    <d v="2024-04-15T00:00:00"/>
    <x v="0"/>
    <n v="10"/>
    <x v="1"/>
    <x v="1"/>
    <x v="1"/>
    <s v="Yes"/>
    <n v="20"/>
    <x v="6"/>
    <x v="7"/>
  </r>
  <r>
    <n v="3281"/>
    <x v="50"/>
    <x v="1"/>
    <d v="2024-04-16T00:00:00"/>
    <x v="1"/>
    <n v="5"/>
    <x v="0"/>
    <x v="1"/>
    <x v="1"/>
    <s v="No"/>
    <n v="0"/>
    <x v="4"/>
    <x v="4"/>
  </r>
  <r>
    <n v="3282"/>
    <x v="51"/>
    <x v="0"/>
    <d v="2024-04-17T00:00:00"/>
    <x v="0"/>
    <n v="15"/>
    <x v="2"/>
    <x v="0"/>
    <x v="0"/>
    <s v="Yes"/>
    <n v="20"/>
    <x v="10"/>
    <x v="12"/>
  </r>
  <r>
    <n v="3283"/>
    <x v="52"/>
    <x v="2"/>
    <d v="2024-04-18T00:00:00"/>
    <x v="1"/>
    <n v="10"/>
    <x v="0"/>
    <x v="1"/>
    <x v="1"/>
    <s v="Yes"/>
    <n v="20"/>
    <x v="2"/>
    <x v="2"/>
  </r>
  <r>
    <n v="3284"/>
    <x v="53"/>
    <x v="1"/>
    <d v="2024-04-19T00:00:00"/>
    <x v="0"/>
    <n v="5"/>
    <x v="1"/>
    <x v="1"/>
    <x v="1"/>
    <s v="No"/>
    <n v="0"/>
    <x v="1"/>
    <x v="1"/>
  </r>
  <r>
    <n v="3285"/>
    <x v="54"/>
    <x v="0"/>
    <d v="2024-04-20T00:00:00"/>
    <x v="1"/>
    <n v="15"/>
    <x v="0"/>
    <x v="0"/>
    <x v="0"/>
    <s v="Yes"/>
    <n v="20"/>
    <x v="7"/>
    <x v="8"/>
  </r>
  <r>
    <n v="3286"/>
    <x v="55"/>
    <x v="2"/>
    <d v="2024-04-21T00:00:00"/>
    <x v="0"/>
    <n v="10"/>
    <x v="2"/>
    <x v="1"/>
    <x v="1"/>
    <s v="Yes"/>
    <n v="20"/>
    <x v="6"/>
    <x v="7"/>
  </r>
  <r>
    <n v="3287"/>
    <x v="56"/>
    <x v="1"/>
    <d v="2024-04-22T00:00:00"/>
    <x v="1"/>
    <n v="5"/>
    <x v="0"/>
    <x v="1"/>
    <x v="1"/>
    <s v="No"/>
    <n v="0"/>
    <x v="4"/>
    <x v="4"/>
  </r>
  <r>
    <n v="3288"/>
    <x v="57"/>
    <x v="0"/>
    <d v="2024-04-23T00:00:00"/>
    <x v="0"/>
    <n v="15"/>
    <x v="1"/>
    <x v="0"/>
    <x v="0"/>
    <s v="Yes"/>
    <n v="20"/>
    <x v="3"/>
    <x v="3"/>
  </r>
  <r>
    <n v="3289"/>
    <x v="58"/>
    <x v="2"/>
    <d v="2024-04-24T00:00:00"/>
    <x v="1"/>
    <n v="10"/>
    <x v="0"/>
    <x v="1"/>
    <x v="1"/>
    <s v="Yes"/>
    <n v="20"/>
    <x v="2"/>
    <x v="2"/>
  </r>
  <r>
    <n v="3290"/>
    <x v="59"/>
    <x v="1"/>
    <d v="2024-04-25T00:00:00"/>
    <x v="0"/>
    <n v="5"/>
    <x v="2"/>
    <x v="1"/>
    <x v="1"/>
    <s v="No"/>
    <n v="0"/>
    <x v="1"/>
    <x v="1"/>
  </r>
  <r>
    <n v="3291"/>
    <x v="60"/>
    <x v="0"/>
    <d v="2024-04-26T00:00:00"/>
    <x v="1"/>
    <n v="15"/>
    <x v="0"/>
    <x v="0"/>
    <x v="0"/>
    <s v="Yes"/>
    <n v="20"/>
    <x v="0"/>
    <x v="0"/>
  </r>
  <r>
    <n v="3292"/>
    <x v="61"/>
    <x v="2"/>
    <d v="2024-04-27T00:00:00"/>
    <x v="0"/>
    <n v="10"/>
    <x v="1"/>
    <x v="1"/>
    <x v="1"/>
    <s v="Yes"/>
    <n v="20"/>
    <x v="6"/>
    <x v="7"/>
  </r>
  <r>
    <n v="3293"/>
    <x v="62"/>
    <x v="1"/>
    <d v="2024-04-28T00:00:00"/>
    <x v="1"/>
    <n v="5"/>
    <x v="0"/>
    <x v="1"/>
    <x v="1"/>
    <s v="No"/>
    <n v="0"/>
    <x v="4"/>
    <x v="4"/>
  </r>
  <r>
    <n v="3294"/>
    <x v="63"/>
    <x v="0"/>
    <d v="2024-04-29T00:00:00"/>
    <x v="0"/>
    <n v="15"/>
    <x v="2"/>
    <x v="0"/>
    <x v="0"/>
    <s v="Yes"/>
    <n v="20"/>
    <x v="7"/>
    <x v="8"/>
  </r>
  <r>
    <n v="3295"/>
    <x v="64"/>
    <x v="2"/>
    <d v="2024-04-30T00:00:00"/>
    <x v="1"/>
    <n v="10"/>
    <x v="0"/>
    <x v="1"/>
    <x v="1"/>
    <s v="Yes"/>
    <n v="20"/>
    <x v="0"/>
    <x v="13"/>
  </r>
  <r>
    <n v="3296"/>
    <x v="65"/>
    <x v="1"/>
    <d v="2024-05-01T00:00:00"/>
    <x v="1"/>
    <n v="5"/>
    <x v="0"/>
    <x v="1"/>
    <x v="1"/>
    <s v="No"/>
    <n v="0"/>
    <x v="1"/>
    <x v="1"/>
  </r>
  <r>
    <n v="3297"/>
    <x v="66"/>
    <x v="0"/>
    <d v="2024-05-02T00:00:00"/>
    <x v="0"/>
    <n v="15"/>
    <x v="2"/>
    <x v="0"/>
    <x v="0"/>
    <s v="Yes"/>
    <n v="20"/>
    <x v="10"/>
    <x v="12"/>
  </r>
  <r>
    <n v="3298"/>
    <x v="67"/>
    <x v="2"/>
    <d v="2024-05-03T00:00:00"/>
    <x v="1"/>
    <n v="10"/>
    <x v="1"/>
    <x v="1"/>
    <x v="1"/>
    <s v="Yes"/>
    <n v="20"/>
    <x v="2"/>
    <x v="2"/>
  </r>
  <r>
    <n v="3299"/>
    <x v="68"/>
    <x v="1"/>
    <d v="2024-05-04T00:00:00"/>
    <x v="0"/>
    <n v="5"/>
    <x v="2"/>
    <x v="1"/>
    <x v="1"/>
    <s v="No"/>
    <n v="0"/>
    <x v="4"/>
    <x v="4"/>
  </r>
  <r>
    <n v="3300"/>
    <x v="69"/>
    <x v="0"/>
    <d v="2024-05-05T00:00:00"/>
    <x v="1"/>
    <n v="15"/>
    <x v="0"/>
    <x v="0"/>
    <x v="0"/>
    <s v="Yes"/>
    <n v="20"/>
    <x v="6"/>
    <x v="14"/>
  </r>
  <r>
    <n v="3301"/>
    <x v="70"/>
    <x v="2"/>
    <d v="2024-05-06T00:00:00"/>
    <x v="0"/>
    <n v="10"/>
    <x v="0"/>
    <x v="1"/>
    <x v="1"/>
    <s v="Yes"/>
    <n v="20"/>
    <x v="0"/>
    <x v="13"/>
  </r>
  <r>
    <n v="3302"/>
    <x v="71"/>
    <x v="1"/>
    <d v="2024-05-07T00:00:00"/>
    <x v="1"/>
    <n v="5"/>
    <x v="1"/>
    <x v="1"/>
    <x v="1"/>
    <s v="No"/>
    <n v="0"/>
    <x v="1"/>
    <x v="1"/>
  </r>
  <r>
    <n v="3303"/>
    <x v="72"/>
    <x v="0"/>
    <d v="2024-05-08T00:00:00"/>
    <x v="0"/>
    <n v="15"/>
    <x v="2"/>
    <x v="0"/>
    <x v="0"/>
    <s v="Yes"/>
    <n v="20"/>
    <x v="7"/>
    <x v="8"/>
  </r>
  <r>
    <n v="3304"/>
    <x v="73"/>
    <x v="2"/>
    <d v="2024-05-09T00:00:00"/>
    <x v="1"/>
    <n v="10"/>
    <x v="2"/>
    <x v="1"/>
    <x v="1"/>
    <s v="Yes"/>
    <n v="20"/>
    <x v="9"/>
    <x v="10"/>
  </r>
  <r>
    <n v="3305"/>
    <x v="74"/>
    <x v="1"/>
    <d v="2024-05-10T00:00:00"/>
    <x v="0"/>
    <n v="5"/>
    <x v="0"/>
    <x v="1"/>
    <x v="1"/>
    <s v="No"/>
    <n v="0"/>
    <x v="5"/>
    <x v="11"/>
  </r>
  <r>
    <n v="3306"/>
    <x v="75"/>
    <x v="0"/>
    <d v="2024-05-11T00:00:00"/>
    <x v="1"/>
    <n v="15"/>
    <x v="1"/>
    <x v="0"/>
    <x v="0"/>
    <s v="Yes"/>
    <n v="20"/>
    <x v="0"/>
    <x v="0"/>
  </r>
  <r>
    <n v="3307"/>
    <x v="76"/>
    <x v="2"/>
    <d v="2024-05-12T00:00:00"/>
    <x v="0"/>
    <n v="10"/>
    <x v="0"/>
    <x v="1"/>
    <x v="1"/>
    <s v="Yes"/>
    <n v="20"/>
    <x v="2"/>
    <x v="2"/>
  </r>
  <r>
    <n v="3308"/>
    <x v="77"/>
    <x v="1"/>
    <d v="2024-05-13T00:00:00"/>
    <x v="1"/>
    <n v="5"/>
    <x v="2"/>
    <x v="1"/>
    <x v="1"/>
    <s v="No"/>
    <n v="0"/>
    <x v="1"/>
    <x v="1"/>
  </r>
  <r>
    <n v="3309"/>
    <x v="78"/>
    <x v="0"/>
    <d v="2024-05-14T00:00:00"/>
    <x v="0"/>
    <n v="15"/>
    <x v="0"/>
    <x v="0"/>
    <x v="0"/>
    <s v="Yes"/>
    <n v="20"/>
    <x v="3"/>
    <x v="3"/>
  </r>
  <r>
    <n v="3310"/>
    <x v="79"/>
    <x v="2"/>
    <d v="2024-05-15T00:00:00"/>
    <x v="1"/>
    <n v="10"/>
    <x v="1"/>
    <x v="1"/>
    <x v="1"/>
    <s v="Yes"/>
    <n v="20"/>
    <x v="6"/>
    <x v="7"/>
  </r>
  <r>
    <n v="3311"/>
    <x v="80"/>
    <x v="1"/>
    <d v="2024-05-16T00:00:00"/>
    <x v="0"/>
    <n v="5"/>
    <x v="0"/>
    <x v="1"/>
    <x v="1"/>
    <s v="No"/>
    <n v="0"/>
    <x v="4"/>
    <x v="4"/>
  </r>
  <r>
    <n v="3312"/>
    <x v="81"/>
    <x v="0"/>
    <d v="2024-05-17T00:00:00"/>
    <x v="1"/>
    <n v="15"/>
    <x v="2"/>
    <x v="0"/>
    <x v="0"/>
    <s v="Yes"/>
    <n v="20"/>
    <x v="10"/>
    <x v="12"/>
  </r>
  <r>
    <n v="3313"/>
    <x v="82"/>
    <x v="2"/>
    <d v="2024-05-18T00:00:00"/>
    <x v="0"/>
    <n v="10"/>
    <x v="0"/>
    <x v="1"/>
    <x v="1"/>
    <s v="Yes"/>
    <n v="20"/>
    <x v="2"/>
    <x v="2"/>
  </r>
  <r>
    <n v="3314"/>
    <x v="83"/>
    <x v="1"/>
    <d v="2024-05-19T00:00:00"/>
    <x v="1"/>
    <n v="5"/>
    <x v="1"/>
    <x v="1"/>
    <x v="1"/>
    <s v="No"/>
    <n v="0"/>
    <x v="1"/>
    <x v="1"/>
  </r>
  <r>
    <n v="3315"/>
    <x v="84"/>
    <x v="0"/>
    <d v="2024-05-20T00:00:00"/>
    <x v="0"/>
    <n v="15"/>
    <x v="0"/>
    <x v="0"/>
    <x v="0"/>
    <s v="Yes"/>
    <n v="20"/>
    <x v="7"/>
    <x v="8"/>
  </r>
  <r>
    <n v="3316"/>
    <x v="85"/>
    <x v="2"/>
    <d v="2024-05-21T00:00:00"/>
    <x v="1"/>
    <n v="10"/>
    <x v="2"/>
    <x v="1"/>
    <x v="1"/>
    <s v="Yes"/>
    <n v="20"/>
    <x v="6"/>
    <x v="7"/>
  </r>
  <r>
    <n v="3317"/>
    <x v="86"/>
    <x v="1"/>
    <d v="2024-05-22T00:00:00"/>
    <x v="0"/>
    <n v="5"/>
    <x v="0"/>
    <x v="1"/>
    <x v="1"/>
    <s v="No"/>
    <n v="0"/>
    <x v="4"/>
    <x v="4"/>
  </r>
  <r>
    <n v="3318"/>
    <x v="87"/>
    <x v="0"/>
    <d v="2024-05-23T00:00:00"/>
    <x v="1"/>
    <n v="15"/>
    <x v="1"/>
    <x v="0"/>
    <x v="0"/>
    <s v="Yes"/>
    <n v="20"/>
    <x v="3"/>
    <x v="3"/>
  </r>
  <r>
    <n v="3319"/>
    <x v="88"/>
    <x v="2"/>
    <d v="2024-05-24T00:00:00"/>
    <x v="0"/>
    <n v="10"/>
    <x v="0"/>
    <x v="1"/>
    <x v="1"/>
    <s v="Yes"/>
    <n v="20"/>
    <x v="2"/>
    <x v="2"/>
  </r>
  <r>
    <n v="3320"/>
    <x v="89"/>
    <x v="1"/>
    <d v="2024-05-25T00:00:00"/>
    <x v="1"/>
    <n v="5"/>
    <x v="2"/>
    <x v="1"/>
    <x v="1"/>
    <s v="No"/>
    <n v="0"/>
    <x v="1"/>
    <x v="1"/>
  </r>
  <r>
    <n v="3321"/>
    <x v="90"/>
    <x v="0"/>
    <d v="2024-05-26T00:00:00"/>
    <x v="0"/>
    <n v="15"/>
    <x v="0"/>
    <x v="0"/>
    <x v="0"/>
    <s v="Yes"/>
    <n v="20"/>
    <x v="0"/>
    <x v="0"/>
  </r>
  <r>
    <n v="3322"/>
    <x v="91"/>
    <x v="2"/>
    <d v="2024-05-27T00:00:00"/>
    <x v="1"/>
    <n v="10"/>
    <x v="1"/>
    <x v="1"/>
    <x v="1"/>
    <s v="Yes"/>
    <n v="20"/>
    <x v="6"/>
    <x v="7"/>
  </r>
  <r>
    <n v="3323"/>
    <x v="92"/>
    <x v="1"/>
    <d v="2024-05-28T00:00:00"/>
    <x v="0"/>
    <n v="5"/>
    <x v="0"/>
    <x v="1"/>
    <x v="1"/>
    <s v="No"/>
    <n v="0"/>
    <x v="4"/>
    <x v="4"/>
  </r>
  <r>
    <n v="3324"/>
    <x v="93"/>
    <x v="0"/>
    <d v="2024-05-29T00:00:00"/>
    <x v="1"/>
    <n v="15"/>
    <x v="2"/>
    <x v="0"/>
    <x v="0"/>
    <s v="Yes"/>
    <n v="20"/>
    <x v="7"/>
    <x v="8"/>
  </r>
  <r>
    <n v="3325"/>
    <x v="94"/>
    <x v="2"/>
    <d v="2024-05-30T00:00:00"/>
    <x v="0"/>
    <n v="10"/>
    <x v="2"/>
    <x v="1"/>
    <x v="1"/>
    <s v="Yes"/>
    <n v="20"/>
    <x v="6"/>
    <x v="7"/>
  </r>
  <r>
    <n v="3326"/>
    <x v="95"/>
    <x v="1"/>
    <d v="2024-05-31T00:00:00"/>
    <x v="1"/>
    <n v="5"/>
    <x v="1"/>
    <x v="1"/>
    <x v="1"/>
    <s v="No"/>
    <n v="0"/>
    <x v="1"/>
    <x v="1"/>
  </r>
  <r>
    <n v="3327"/>
    <x v="96"/>
    <x v="0"/>
    <d v="2024-06-01T00:00:00"/>
    <x v="0"/>
    <n v="15"/>
    <x v="0"/>
    <x v="0"/>
    <x v="0"/>
    <s v="Yes"/>
    <n v="20"/>
    <x v="10"/>
    <x v="12"/>
  </r>
  <r>
    <n v="3328"/>
    <x v="97"/>
    <x v="2"/>
    <d v="2024-06-02T00:00:00"/>
    <x v="1"/>
    <n v="10"/>
    <x v="1"/>
    <x v="1"/>
    <x v="1"/>
    <s v="Yes"/>
    <n v="20"/>
    <x v="2"/>
    <x v="2"/>
  </r>
  <r>
    <n v="3329"/>
    <x v="98"/>
    <x v="1"/>
    <d v="2024-06-03T00:00:00"/>
    <x v="0"/>
    <n v="5"/>
    <x v="2"/>
    <x v="1"/>
    <x v="1"/>
    <s v="No"/>
    <n v="0"/>
    <x v="4"/>
    <x v="4"/>
  </r>
  <r>
    <n v="3330"/>
    <x v="99"/>
    <x v="0"/>
    <d v="2024-06-04T00:00:00"/>
    <x v="1"/>
    <n v="15"/>
    <x v="0"/>
    <x v="0"/>
    <x v="0"/>
    <s v="Yes"/>
    <n v="20"/>
    <x v="6"/>
    <x v="14"/>
  </r>
  <r>
    <n v="3331"/>
    <x v="100"/>
    <x v="2"/>
    <d v="2024-06-05T00:00:00"/>
    <x v="0"/>
    <n v="10"/>
    <x v="0"/>
    <x v="1"/>
    <x v="1"/>
    <s v="Yes"/>
    <n v="20"/>
    <x v="0"/>
    <x v="13"/>
  </r>
  <r>
    <n v="3332"/>
    <x v="101"/>
    <x v="1"/>
    <d v="2024-06-06T00:00:00"/>
    <x v="1"/>
    <n v="5"/>
    <x v="1"/>
    <x v="1"/>
    <x v="1"/>
    <s v="No"/>
    <n v="0"/>
    <x v="1"/>
    <x v="1"/>
  </r>
  <r>
    <n v="3333"/>
    <x v="102"/>
    <x v="0"/>
    <d v="2024-06-07T00:00:00"/>
    <x v="0"/>
    <n v="15"/>
    <x v="2"/>
    <x v="0"/>
    <x v="0"/>
    <s v="Yes"/>
    <n v="20"/>
    <x v="7"/>
    <x v="8"/>
  </r>
  <r>
    <n v="3334"/>
    <x v="103"/>
    <x v="2"/>
    <d v="2024-06-08T00:00:00"/>
    <x v="1"/>
    <n v="10"/>
    <x v="2"/>
    <x v="1"/>
    <x v="1"/>
    <s v="Yes"/>
    <n v="20"/>
    <x v="9"/>
    <x v="10"/>
  </r>
  <r>
    <n v="3335"/>
    <x v="104"/>
    <x v="1"/>
    <d v="2024-06-09T00:00:00"/>
    <x v="0"/>
    <n v="5"/>
    <x v="0"/>
    <x v="1"/>
    <x v="1"/>
    <s v="No"/>
    <n v="0"/>
    <x v="5"/>
    <x v="11"/>
  </r>
  <r>
    <n v="3336"/>
    <x v="105"/>
    <x v="1"/>
    <d v="2024-06-10T00:00:00"/>
    <x v="0"/>
    <n v="5"/>
    <x v="0"/>
    <x v="1"/>
    <x v="1"/>
    <s v="No"/>
    <n v="0"/>
    <x v="1"/>
    <x v="1"/>
  </r>
  <r>
    <n v="3337"/>
    <x v="106"/>
    <x v="0"/>
    <d v="2024-06-11T00:00:00"/>
    <x v="1"/>
    <n v="15"/>
    <x v="2"/>
    <x v="0"/>
    <x v="0"/>
    <s v="Yes"/>
    <n v="20"/>
    <x v="10"/>
    <x v="12"/>
  </r>
  <r>
    <n v="3338"/>
    <x v="107"/>
    <x v="2"/>
    <d v="2024-06-12T00:00:00"/>
    <x v="0"/>
    <n v="10"/>
    <x v="1"/>
    <x v="1"/>
    <x v="1"/>
    <s v="Yes"/>
    <n v="20"/>
    <x v="2"/>
    <x v="2"/>
  </r>
  <r>
    <n v="3339"/>
    <x v="108"/>
    <x v="1"/>
    <d v="2024-06-13T00:00:00"/>
    <x v="1"/>
    <n v="5"/>
    <x v="2"/>
    <x v="1"/>
    <x v="1"/>
    <s v="No"/>
    <n v="0"/>
    <x v="4"/>
    <x v="4"/>
  </r>
  <r>
    <n v="3340"/>
    <x v="109"/>
    <x v="0"/>
    <d v="2024-06-14T00:00:00"/>
    <x v="0"/>
    <n v="15"/>
    <x v="0"/>
    <x v="0"/>
    <x v="0"/>
    <s v="Yes"/>
    <n v="20"/>
    <x v="6"/>
    <x v="14"/>
  </r>
  <r>
    <n v="3341"/>
    <x v="110"/>
    <x v="2"/>
    <d v="2024-06-15T00:00:00"/>
    <x v="1"/>
    <n v="10"/>
    <x v="0"/>
    <x v="1"/>
    <x v="1"/>
    <s v="Yes"/>
    <n v="20"/>
    <x v="0"/>
    <x v="13"/>
  </r>
  <r>
    <n v="3342"/>
    <x v="111"/>
    <x v="1"/>
    <d v="2024-06-16T00:00:00"/>
    <x v="0"/>
    <n v="5"/>
    <x v="1"/>
    <x v="1"/>
    <x v="1"/>
    <s v="No"/>
    <n v="0"/>
    <x v="1"/>
    <x v="1"/>
  </r>
  <r>
    <n v="3343"/>
    <x v="112"/>
    <x v="0"/>
    <d v="2024-06-17T00:00:00"/>
    <x v="1"/>
    <n v="15"/>
    <x v="2"/>
    <x v="0"/>
    <x v="0"/>
    <s v="Yes"/>
    <n v="20"/>
    <x v="7"/>
    <x v="8"/>
  </r>
  <r>
    <n v="3344"/>
    <x v="113"/>
    <x v="2"/>
    <d v="2024-06-18T00:00:00"/>
    <x v="0"/>
    <n v="10"/>
    <x v="2"/>
    <x v="1"/>
    <x v="1"/>
    <s v="Yes"/>
    <n v="20"/>
    <x v="9"/>
    <x v="10"/>
  </r>
  <r>
    <n v="3345"/>
    <x v="114"/>
    <x v="1"/>
    <d v="2024-06-19T00:00:00"/>
    <x v="1"/>
    <n v="5"/>
    <x v="0"/>
    <x v="1"/>
    <x v="1"/>
    <s v="No"/>
    <n v="0"/>
    <x v="5"/>
    <x v="11"/>
  </r>
  <r>
    <n v="3346"/>
    <x v="115"/>
    <x v="0"/>
    <d v="2024-06-20T00:00:00"/>
    <x v="0"/>
    <n v="15"/>
    <x v="1"/>
    <x v="0"/>
    <x v="0"/>
    <s v="Yes"/>
    <n v="20"/>
    <x v="0"/>
    <x v="0"/>
  </r>
  <r>
    <n v="3347"/>
    <x v="116"/>
    <x v="2"/>
    <d v="2024-06-21T00:00:00"/>
    <x v="1"/>
    <n v="10"/>
    <x v="0"/>
    <x v="1"/>
    <x v="1"/>
    <s v="Yes"/>
    <n v="20"/>
    <x v="2"/>
    <x v="2"/>
  </r>
  <r>
    <n v="3348"/>
    <x v="117"/>
    <x v="1"/>
    <d v="2024-06-22T00:00:00"/>
    <x v="0"/>
    <n v="5"/>
    <x v="2"/>
    <x v="1"/>
    <x v="1"/>
    <s v="No"/>
    <n v="0"/>
    <x v="1"/>
    <x v="1"/>
  </r>
  <r>
    <n v="3349"/>
    <x v="93"/>
    <x v="0"/>
    <d v="2024-06-23T00:00:00"/>
    <x v="1"/>
    <n v="15"/>
    <x v="0"/>
    <x v="0"/>
    <x v="0"/>
    <s v="Yes"/>
    <n v="20"/>
    <x v="3"/>
    <x v="3"/>
  </r>
  <r>
    <n v="3350"/>
    <x v="118"/>
    <x v="2"/>
    <d v="2024-06-24T00:00:00"/>
    <x v="0"/>
    <n v="10"/>
    <x v="1"/>
    <x v="1"/>
    <x v="1"/>
    <s v="Yes"/>
    <n v="20"/>
    <x v="6"/>
    <x v="7"/>
  </r>
  <r>
    <n v="3351"/>
    <x v="119"/>
    <x v="1"/>
    <d v="2024-06-25T00:00:00"/>
    <x v="1"/>
    <n v="5"/>
    <x v="0"/>
    <x v="1"/>
    <x v="1"/>
    <s v="No"/>
    <n v="0"/>
    <x v="4"/>
    <x v="4"/>
  </r>
  <r>
    <n v="3352"/>
    <x v="120"/>
    <x v="0"/>
    <d v="2024-06-26T00:00:00"/>
    <x v="0"/>
    <n v="15"/>
    <x v="2"/>
    <x v="0"/>
    <x v="0"/>
    <s v="Yes"/>
    <n v="20"/>
    <x v="10"/>
    <x v="12"/>
  </r>
  <r>
    <n v="3353"/>
    <x v="121"/>
    <x v="2"/>
    <d v="2024-06-27T00:00:00"/>
    <x v="1"/>
    <n v="10"/>
    <x v="0"/>
    <x v="1"/>
    <x v="1"/>
    <s v="Yes"/>
    <n v="20"/>
    <x v="2"/>
    <x v="2"/>
  </r>
  <r>
    <n v="3354"/>
    <x v="122"/>
    <x v="1"/>
    <d v="2024-06-28T00:00:00"/>
    <x v="0"/>
    <n v="5"/>
    <x v="1"/>
    <x v="1"/>
    <x v="1"/>
    <s v="No"/>
    <n v="0"/>
    <x v="1"/>
    <x v="1"/>
  </r>
  <r>
    <n v="3355"/>
    <x v="123"/>
    <x v="0"/>
    <d v="2024-06-29T00:00:00"/>
    <x v="1"/>
    <n v="15"/>
    <x v="0"/>
    <x v="0"/>
    <x v="0"/>
    <s v="Yes"/>
    <n v="20"/>
    <x v="7"/>
    <x v="8"/>
  </r>
  <r>
    <n v="3356"/>
    <x v="124"/>
    <x v="2"/>
    <d v="2024-06-30T00:00:00"/>
    <x v="0"/>
    <n v="10"/>
    <x v="2"/>
    <x v="1"/>
    <x v="1"/>
    <s v="Yes"/>
    <n v="20"/>
    <x v="6"/>
    <x v="7"/>
  </r>
  <r>
    <n v="3357"/>
    <x v="125"/>
    <x v="1"/>
    <d v="2024-07-01T00:00:00"/>
    <x v="1"/>
    <n v="5"/>
    <x v="0"/>
    <x v="1"/>
    <x v="1"/>
    <s v="No"/>
    <n v="0"/>
    <x v="4"/>
    <x v="4"/>
  </r>
  <r>
    <n v="3358"/>
    <x v="126"/>
    <x v="0"/>
    <d v="2024-07-02T00:00:00"/>
    <x v="0"/>
    <n v="15"/>
    <x v="1"/>
    <x v="0"/>
    <x v="0"/>
    <s v="Yes"/>
    <n v="20"/>
    <x v="3"/>
    <x v="3"/>
  </r>
  <r>
    <n v="3359"/>
    <x v="127"/>
    <x v="2"/>
    <d v="2024-07-03T00:00:00"/>
    <x v="1"/>
    <n v="10"/>
    <x v="0"/>
    <x v="1"/>
    <x v="1"/>
    <s v="Yes"/>
    <n v="20"/>
    <x v="2"/>
    <x v="2"/>
  </r>
  <r>
    <n v="3360"/>
    <x v="128"/>
    <x v="1"/>
    <d v="2024-07-04T00:00:00"/>
    <x v="0"/>
    <n v="5"/>
    <x v="2"/>
    <x v="1"/>
    <x v="1"/>
    <s v="No"/>
    <n v="0"/>
    <x v="1"/>
    <x v="1"/>
  </r>
  <r>
    <n v="3361"/>
    <x v="129"/>
    <x v="0"/>
    <d v="2024-07-05T00:00:00"/>
    <x v="1"/>
    <n v="15"/>
    <x v="0"/>
    <x v="0"/>
    <x v="0"/>
    <s v="Yes"/>
    <n v="20"/>
    <x v="6"/>
    <x v="14"/>
  </r>
  <r>
    <n v="3362"/>
    <x v="130"/>
    <x v="2"/>
    <d v="2024-07-06T00:00:00"/>
    <x v="0"/>
    <n v="10"/>
    <x v="1"/>
    <x v="1"/>
    <x v="1"/>
    <s v="Yes"/>
    <n v="20"/>
    <x v="6"/>
    <x v="7"/>
  </r>
  <r>
    <n v="3363"/>
    <x v="131"/>
    <x v="1"/>
    <d v="2024-07-07T00:00:00"/>
    <x v="1"/>
    <n v="5"/>
    <x v="0"/>
    <x v="1"/>
    <x v="1"/>
    <s v="No"/>
    <n v="0"/>
    <x v="4"/>
    <x v="4"/>
  </r>
  <r>
    <n v="3364"/>
    <x v="132"/>
    <x v="0"/>
    <d v="2024-07-08T00:00:00"/>
    <x v="0"/>
    <n v="15"/>
    <x v="2"/>
    <x v="0"/>
    <x v="0"/>
    <s v="Yes"/>
    <n v="20"/>
    <x v="10"/>
    <x v="12"/>
  </r>
  <r>
    <n v="3365"/>
    <x v="133"/>
    <x v="2"/>
    <d v="2024-07-09T00:00:00"/>
    <x v="1"/>
    <n v="10"/>
    <x v="0"/>
    <x v="1"/>
    <x v="1"/>
    <s v="Yes"/>
    <n v="20"/>
    <x v="2"/>
    <x v="2"/>
  </r>
  <r>
    <n v="3366"/>
    <x v="134"/>
    <x v="1"/>
    <d v="2024-07-10T00:00:00"/>
    <x v="0"/>
    <n v="5"/>
    <x v="0"/>
    <x v="1"/>
    <x v="1"/>
    <s v="No"/>
    <n v="0"/>
    <x v="1"/>
    <x v="1"/>
  </r>
  <r>
    <n v="3367"/>
    <x v="135"/>
    <x v="0"/>
    <d v="2024-07-11T00:00:00"/>
    <x v="1"/>
    <n v="15"/>
    <x v="2"/>
    <x v="0"/>
    <x v="0"/>
    <s v="Yes"/>
    <n v="20"/>
    <x v="10"/>
    <x v="12"/>
  </r>
  <r>
    <n v="3368"/>
    <x v="136"/>
    <x v="2"/>
    <d v="2024-07-12T00:00:00"/>
    <x v="0"/>
    <n v="10"/>
    <x v="1"/>
    <x v="1"/>
    <x v="1"/>
    <s v="Yes"/>
    <n v="20"/>
    <x v="2"/>
    <x v="2"/>
  </r>
  <r>
    <n v="3369"/>
    <x v="137"/>
    <x v="1"/>
    <d v="2024-07-13T00:00:00"/>
    <x v="1"/>
    <n v="5"/>
    <x v="2"/>
    <x v="1"/>
    <x v="1"/>
    <s v="No"/>
    <n v="0"/>
    <x v="4"/>
    <x v="4"/>
  </r>
  <r>
    <n v="3370"/>
    <x v="138"/>
    <x v="0"/>
    <d v="2024-07-14T00:00:00"/>
    <x v="0"/>
    <n v="15"/>
    <x v="0"/>
    <x v="0"/>
    <x v="0"/>
    <s v="Yes"/>
    <n v="20"/>
    <x v="6"/>
    <x v="14"/>
  </r>
  <r>
    <n v="3371"/>
    <x v="139"/>
    <x v="2"/>
    <d v="2024-07-15T00:00:00"/>
    <x v="1"/>
    <n v="10"/>
    <x v="0"/>
    <x v="1"/>
    <x v="1"/>
    <s v="Yes"/>
    <n v="20"/>
    <x v="0"/>
    <x v="13"/>
  </r>
  <r>
    <n v="3372"/>
    <x v="140"/>
    <x v="1"/>
    <d v="2024-07-16T00:00:00"/>
    <x v="0"/>
    <n v="5"/>
    <x v="1"/>
    <x v="1"/>
    <x v="1"/>
    <s v="No"/>
    <n v="0"/>
    <x v="1"/>
    <x v="1"/>
  </r>
  <r>
    <n v="3373"/>
    <x v="141"/>
    <x v="0"/>
    <d v="2024-07-17T00:00:00"/>
    <x v="1"/>
    <n v="15"/>
    <x v="2"/>
    <x v="0"/>
    <x v="0"/>
    <s v="Yes"/>
    <n v="20"/>
    <x v="7"/>
    <x v="8"/>
  </r>
  <r>
    <n v="3374"/>
    <x v="142"/>
    <x v="2"/>
    <d v="2024-07-18T00:00:00"/>
    <x v="0"/>
    <n v="10"/>
    <x v="2"/>
    <x v="1"/>
    <x v="1"/>
    <s v="Yes"/>
    <n v="20"/>
    <x v="9"/>
    <x v="10"/>
  </r>
  <r>
    <n v="3375"/>
    <x v="143"/>
    <x v="1"/>
    <d v="2024-07-19T00:00:00"/>
    <x v="1"/>
    <n v="5"/>
    <x v="0"/>
    <x v="1"/>
    <x v="1"/>
    <s v="No"/>
    <n v="0"/>
    <x v="5"/>
    <x v="11"/>
  </r>
  <r>
    <n v="3376"/>
    <x v="144"/>
    <x v="0"/>
    <d v="2024-07-20T00:00:00"/>
    <x v="0"/>
    <n v="15"/>
    <x v="1"/>
    <x v="0"/>
    <x v="0"/>
    <s v="Yes"/>
    <n v="20"/>
    <x v="0"/>
    <x v="0"/>
  </r>
  <r>
    <n v="3377"/>
    <x v="145"/>
    <x v="2"/>
    <d v="2024-07-21T00:00:00"/>
    <x v="1"/>
    <n v="10"/>
    <x v="0"/>
    <x v="1"/>
    <x v="1"/>
    <s v="Yes"/>
    <n v="20"/>
    <x v="2"/>
    <x v="2"/>
  </r>
  <r>
    <n v="3378"/>
    <x v="146"/>
    <x v="1"/>
    <d v="2024-07-22T00:00:00"/>
    <x v="0"/>
    <n v="5"/>
    <x v="2"/>
    <x v="1"/>
    <x v="1"/>
    <s v="No"/>
    <n v="0"/>
    <x v="1"/>
    <x v="1"/>
  </r>
  <r>
    <n v="3379"/>
    <x v="147"/>
    <x v="0"/>
    <d v="2024-07-23T00:00:00"/>
    <x v="1"/>
    <n v="15"/>
    <x v="0"/>
    <x v="0"/>
    <x v="0"/>
    <s v="Yes"/>
    <n v="20"/>
    <x v="3"/>
    <x v="3"/>
  </r>
  <r>
    <n v="3380"/>
    <x v="148"/>
    <x v="2"/>
    <d v="2024-07-24T00:00:00"/>
    <x v="0"/>
    <n v="10"/>
    <x v="1"/>
    <x v="1"/>
    <x v="1"/>
    <s v="Yes"/>
    <n v="20"/>
    <x v="6"/>
    <x v="7"/>
  </r>
  <r>
    <n v="3381"/>
    <x v="149"/>
    <x v="1"/>
    <d v="2024-07-25T00:00:00"/>
    <x v="1"/>
    <n v="5"/>
    <x v="0"/>
    <x v="1"/>
    <x v="1"/>
    <s v="No"/>
    <n v="0"/>
    <x v="4"/>
    <x v="4"/>
  </r>
  <r>
    <n v="3382"/>
    <x v="150"/>
    <x v="0"/>
    <d v="2024-07-26T00:00:00"/>
    <x v="0"/>
    <n v="15"/>
    <x v="2"/>
    <x v="0"/>
    <x v="0"/>
    <s v="Yes"/>
    <n v="20"/>
    <x v="10"/>
    <x v="12"/>
  </r>
  <r>
    <n v="3383"/>
    <x v="151"/>
    <x v="2"/>
    <d v="2024-07-27T00:00:00"/>
    <x v="1"/>
    <n v="10"/>
    <x v="0"/>
    <x v="1"/>
    <x v="1"/>
    <s v="Yes"/>
    <n v="20"/>
    <x v="2"/>
    <x v="2"/>
  </r>
  <r>
    <n v="3384"/>
    <x v="152"/>
    <x v="1"/>
    <d v="2024-07-28T00:00:00"/>
    <x v="0"/>
    <n v="5"/>
    <x v="1"/>
    <x v="1"/>
    <x v="1"/>
    <s v="No"/>
    <n v="0"/>
    <x v="1"/>
    <x v="1"/>
  </r>
  <r>
    <n v="3385"/>
    <x v="153"/>
    <x v="0"/>
    <d v="2024-07-29T00:00:00"/>
    <x v="1"/>
    <n v="15"/>
    <x v="0"/>
    <x v="0"/>
    <x v="0"/>
    <s v="Yes"/>
    <n v="20"/>
    <x v="7"/>
    <x v="8"/>
  </r>
  <r>
    <n v="3386"/>
    <x v="154"/>
    <x v="2"/>
    <d v="2024-07-30T00:00:00"/>
    <x v="0"/>
    <n v="10"/>
    <x v="2"/>
    <x v="1"/>
    <x v="1"/>
    <s v="Yes"/>
    <n v="20"/>
    <x v="6"/>
    <x v="7"/>
  </r>
  <r>
    <n v="3387"/>
    <x v="155"/>
    <x v="1"/>
    <d v="2024-07-31T00:00:00"/>
    <x v="1"/>
    <n v="5"/>
    <x v="0"/>
    <x v="1"/>
    <x v="1"/>
    <s v="No"/>
    <n v="0"/>
    <x v="4"/>
    <x v="4"/>
  </r>
  <r>
    <n v="3388"/>
    <x v="156"/>
    <x v="0"/>
    <d v="2024-08-01T00:00:00"/>
    <x v="0"/>
    <n v="15"/>
    <x v="1"/>
    <x v="0"/>
    <x v="0"/>
    <s v="Yes"/>
    <n v="20"/>
    <x v="3"/>
    <x v="3"/>
  </r>
  <r>
    <n v="3389"/>
    <x v="157"/>
    <x v="2"/>
    <d v="2024-08-02T00:00:00"/>
    <x v="1"/>
    <n v="10"/>
    <x v="0"/>
    <x v="1"/>
    <x v="1"/>
    <s v="Yes"/>
    <n v="20"/>
    <x v="2"/>
    <x v="2"/>
  </r>
  <r>
    <n v="3390"/>
    <x v="158"/>
    <x v="1"/>
    <d v="2024-08-03T00:00:00"/>
    <x v="0"/>
    <n v="5"/>
    <x v="2"/>
    <x v="1"/>
    <x v="1"/>
    <s v="No"/>
    <n v="0"/>
    <x v="1"/>
    <x v="1"/>
  </r>
  <r>
    <n v="3391"/>
    <x v="58"/>
    <x v="0"/>
    <d v="2024-08-04T00:00:00"/>
    <x v="1"/>
    <n v="15"/>
    <x v="0"/>
    <x v="0"/>
    <x v="0"/>
    <s v="Yes"/>
    <n v="20"/>
    <x v="6"/>
    <x v="14"/>
  </r>
  <r>
    <n v="3392"/>
    <x v="159"/>
    <x v="2"/>
    <d v="2024-08-05T00:00:00"/>
    <x v="0"/>
    <n v="10"/>
    <x v="1"/>
    <x v="1"/>
    <x v="1"/>
    <s v="Yes"/>
    <n v="20"/>
    <x v="6"/>
    <x v="7"/>
  </r>
  <r>
    <n v="3393"/>
    <x v="160"/>
    <x v="1"/>
    <d v="2024-08-06T00:00:00"/>
    <x v="1"/>
    <n v="5"/>
    <x v="0"/>
    <x v="1"/>
    <x v="1"/>
    <s v="No"/>
    <n v="0"/>
    <x v="4"/>
    <x v="4"/>
  </r>
  <r>
    <n v="3394"/>
    <x v="161"/>
    <x v="0"/>
    <d v="2024-08-07T00:00:00"/>
    <x v="0"/>
    <n v="15"/>
    <x v="2"/>
    <x v="0"/>
    <x v="0"/>
    <s v="Yes"/>
    <n v="20"/>
    <x v="10"/>
    <x v="12"/>
  </r>
  <r>
    <n v="3395"/>
    <x v="162"/>
    <x v="2"/>
    <d v="2024-08-08T00:00:00"/>
    <x v="1"/>
    <n v="10"/>
    <x v="0"/>
    <x v="1"/>
    <x v="1"/>
    <s v="Yes"/>
    <n v="20"/>
    <x v="2"/>
    <x v="2"/>
  </r>
  <r>
    <n v="3396"/>
    <x v="163"/>
    <x v="1"/>
    <d v="2024-08-09T00:00:00"/>
    <x v="0"/>
    <n v="5"/>
    <x v="1"/>
    <x v="1"/>
    <x v="1"/>
    <s v="No"/>
    <n v="0"/>
    <x v="1"/>
    <x v="1"/>
  </r>
  <r>
    <n v="3397"/>
    <x v="90"/>
    <x v="0"/>
    <d v="2024-08-10T00:00:00"/>
    <x v="1"/>
    <n v="15"/>
    <x v="0"/>
    <x v="0"/>
    <x v="0"/>
    <s v="Yes"/>
    <n v="20"/>
    <x v="7"/>
    <x v="8"/>
  </r>
  <r>
    <n v="3398"/>
    <x v="164"/>
    <x v="2"/>
    <d v="2024-08-11T00:00:00"/>
    <x v="0"/>
    <n v="10"/>
    <x v="2"/>
    <x v="1"/>
    <x v="1"/>
    <s v="Yes"/>
    <n v="20"/>
    <x v="6"/>
    <x v="7"/>
  </r>
  <r>
    <n v="3399"/>
    <x v="165"/>
    <x v="1"/>
    <d v="2024-08-12T00:00:00"/>
    <x v="1"/>
    <n v="5"/>
    <x v="0"/>
    <x v="1"/>
    <x v="1"/>
    <s v="No"/>
    <n v="0"/>
    <x v="4"/>
    <x v="4"/>
  </r>
  <r>
    <n v="3400"/>
    <x v="166"/>
    <x v="0"/>
    <d v="2024-08-13T00:00:00"/>
    <x v="0"/>
    <n v="15"/>
    <x v="1"/>
    <x v="0"/>
    <x v="0"/>
    <s v="Yes"/>
    <n v="20"/>
    <x v="0"/>
    <x v="0"/>
  </r>
  <r>
    <n v="3401"/>
    <x v="167"/>
    <x v="2"/>
    <d v="2024-08-14T00:00:00"/>
    <x v="1"/>
    <n v="10"/>
    <x v="0"/>
    <x v="1"/>
    <x v="1"/>
    <s v="Yes"/>
    <n v="20"/>
    <x v="2"/>
    <x v="2"/>
  </r>
  <r>
    <n v="3402"/>
    <x v="168"/>
    <x v="1"/>
    <d v="2024-08-15T00:00:00"/>
    <x v="0"/>
    <n v="5"/>
    <x v="2"/>
    <x v="1"/>
    <x v="1"/>
    <s v="No"/>
    <n v="0"/>
    <x v="1"/>
    <x v="1"/>
  </r>
  <r>
    <n v="3403"/>
    <x v="169"/>
    <x v="0"/>
    <d v="2024-08-16T00:00:00"/>
    <x v="1"/>
    <n v="15"/>
    <x v="0"/>
    <x v="0"/>
    <x v="0"/>
    <s v="Yes"/>
    <n v="20"/>
    <x v="3"/>
    <x v="3"/>
  </r>
  <r>
    <n v="3404"/>
    <x v="170"/>
    <x v="2"/>
    <d v="2024-08-17T00:00:00"/>
    <x v="0"/>
    <n v="10"/>
    <x v="1"/>
    <x v="1"/>
    <x v="1"/>
    <s v="Yes"/>
    <n v="20"/>
    <x v="6"/>
    <x v="7"/>
  </r>
  <r>
    <n v="3405"/>
    <x v="171"/>
    <x v="1"/>
    <d v="2024-08-18T00:00:00"/>
    <x v="1"/>
    <n v="5"/>
    <x v="0"/>
    <x v="1"/>
    <x v="1"/>
    <s v="No"/>
    <n v="0"/>
    <x v="4"/>
    <x v="4"/>
  </r>
  <r>
    <n v="3406"/>
    <x v="172"/>
    <x v="1"/>
    <d v="2024-08-19T00:00:00"/>
    <x v="0"/>
    <n v="5"/>
    <x v="0"/>
    <x v="1"/>
    <x v="1"/>
    <s v="No"/>
    <n v="0"/>
    <x v="1"/>
    <x v="1"/>
  </r>
  <r>
    <n v="3407"/>
    <x v="173"/>
    <x v="0"/>
    <d v="2024-08-20T00:00:00"/>
    <x v="1"/>
    <n v="15"/>
    <x v="2"/>
    <x v="0"/>
    <x v="0"/>
    <s v="Yes"/>
    <n v="20"/>
    <x v="10"/>
    <x v="12"/>
  </r>
  <r>
    <n v="3408"/>
    <x v="174"/>
    <x v="2"/>
    <d v="2024-08-21T00:00:00"/>
    <x v="0"/>
    <n v="10"/>
    <x v="1"/>
    <x v="1"/>
    <x v="1"/>
    <s v="Yes"/>
    <n v="20"/>
    <x v="2"/>
    <x v="2"/>
  </r>
  <r>
    <n v="3409"/>
    <x v="175"/>
    <x v="1"/>
    <d v="2024-08-22T00:00:00"/>
    <x v="1"/>
    <n v="5"/>
    <x v="2"/>
    <x v="1"/>
    <x v="1"/>
    <s v="No"/>
    <n v="0"/>
    <x v="4"/>
    <x v="4"/>
  </r>
  <r>
    <n v="3410"/>
    <x v="176"/>
    <x v="0"/>
    <d v="2024-08-23T00:00:00"/>
    <x v="0"/>
    <n v="15"/>
    <x v="0"/>
    <x v="0"/>
    <x v="0"/>
    <s v="Yes"/>
    <n v="20"/>
    <x v="6"/>
    <x v="14"/>
  </r>
  <r>
    <n v="3411"/>
    <x v="177"/>
    <x v="2"/>
    <d v="2024-08-24T00:00:00"/>
    <x v="1"/>
    <n v="10"/>
    <x v="0"/>
    <x v="1"/>
    <x v="1"/>
    <s v="Yes"/>
    <n v="20"/>
    <x v="0"/>
    <x v="13"/>
  </r>
  <r>
    <n v="3412"/>
    <x v="178"/>
    <x v="1"/>
    <d v="2024-08-25T00:00:00"/>
    <x v="0"/>
    <n v="5"/>
    <x v="1"/>
    <x v="1"/>
    <x v="1"/>
    <s v="No"/>
    <n v="0"/>
    <x v="1"/>
    <x v="1"/>
  </r>
  <r>
    <n v="3413"/>
    <x v="179"/>
    <x v="0"/>
    <d v="2024-08-26T00:00:00"/>
    <x v="1"/>
    <n v="15"/>
    <x v="2"/>
    <x v="0"/>
    <x v="0"/>
    <s v="Yes"/>
    <n v="20"/>
    <x v="7"/>
    <x v="8"/>
  </r>
  <r>
    <n v="3414"/>
    <x v="180"/>
    <x v="2"/>
    <d v="2024-08-27T00:00:00"/>
    <x v="0"/>
    <n v="10"/>
    <x v="2"/>
    <x v="1"/>
    <x v="1"/>
    <s v="Yes"/>
    <n v="20"/>
    <x v="9"/>
    <x v="10"/>
  </r>
  <r>
    <n v="3415"/>
    <x v="181"/>
    <x v="1"/>
    <d v="2024-08-28T00:00:00"/>
    <x v="1"/>
    <n v="5"/>
    <x v="0"/>
    <x v="1"/>
    <x v="1"/>
    <s v="No"/>
    <n v="0"/>
    <x v="5"/>
    <x v="11"/>
  </r>
  <r>
    <n v="3416"/>
    <x v="182"/>
    <x v="0"/>
    <d v="2024-08-29T00:00:00"/>
    <x v="0"/>
    <n v="15"/>
    <x v="1"/>
    <x v="0"/>
    <x v="0"/>
    <s v="Yes"/>
    <n v="20"/>
    <x v="0"/>
    <x v="0"/>
  </r>
  <r>
    <n v="3417"/>
    <x v="183"/>
    <x v="2"/>
    <d v="2024-08-30T00:00:00"/>
    <x v="1"/>
    <n v="10"/>
    <x v="0"/>
    <x v="1"/>
    <x v="1"/>
    <s v="Yes"/>
    <n v="20"/>
    <x v="2"/>
    <x v="2"/>
  </r>
  <r>
    <n v="3418"/>
    <x v="184"/>
    <x v="1"/>
    <d v="2024-08-31T00:00:00"/>
    <x v="0"/>
    <n v="5"/>
    <x v="2"/>
    <x v="1"/>
    <x v="1"/>
    <s v="No"/>
    <n v="0"/>
    <x v="1"/>
    <x v="1"/>
  </r>
  <r>
    <n v="3419"/>
    <x v="185"/>
    <x v="0"/>
    <d v="2024-09-01T00:00:00"/>
    <x v="1"/>
    <n v="15"/>
    <x v="0"/>
    <x v="0"/>
    <x v="0"/>
    <s v="Yes"/>
    <n v="20"/>
    <x v="3"/>
    <x v="3"/>
  </r>
  <r>
    <n v="3420"/>
    <x v="186"/>
    <x v="2"/>
    <d v="2024-09-02T00:00:00"/>
    <x v="0"/>
    <n v="10"/>
    <x v="1"/>
    <x v="1"/>
    <x v="1"/>
    <s v="Yes"/>
    <n v="20"/>
    <x v="6"/>
    <x v="7"/>
  </r>
  <r>
    <n v="3421"/>
    <x v="15"/>
    <x v="1"/>
    <d v="2024-09-03T00:00:00"/>
    <x v="1"/>
    <n v="5"/>
    <x v="0"/>
    <x v="1"/>
    <x v="1"/>
    <s v="No"/>
    <n v="0"/>
    <x v="4"/>
    <x v="4"/>
  </r>
  <r>
    <n v="3422"/>
    <x v="187"/>
    <x v="0"/>
    <d v="2024-09-04T00:00:00"/>
    <x v="0"/>
    <n v="15"/>
    <x v="2"/>
    <x v="0"/>
    <x v="0"/>
    <s v="Yes"/>
    <n v="20"/>
    <x v="10"/>
    <x v="12"/>
  </r>
  <r>
    <n v="3423"/>
    <x v="188"/>
    <x v="2"/>
    <d v="2024-09-05T00:00:00"/>
    <x v="1"/>
    <n v="10"/>
    <x v="0"/>
    <x v="1"/>
    <x v="1"/>
    <s v="Yes"/>
    <n v="20"/>
    <x v="2"/>
    <x v="2"/>
  </r>
  <r>
    <n v="3424"/>
    <x v="14"/>
    <x v="1"/>
    <d v="2024-09-06T00:00:00"/>
    <x v="0"/>
    <n v="5"/>
    <x v="1"/>
    <x v="1"/>
    <x v="1"/>
    <s v="No"/>
    <n v="0"/>
    <x v="1"/>
    <x v="1"/>
  </r>
  <r>
    <n v="3425"/>
    <x v="189"/>
    <x v="0"/>
    <d v="2024-09-07T00:00:00"/>
    <x v="1"/>
    <n v="15"/>
    <x v="0"/>
    <x v="0"/>
    <x v="0"/>
    <s v="Yes"/>
    <n v="20"/>
    <x v="7"/>
    <x v="8"/>
  </r>
  <r>
    <n v="3426"/>
    <x v="167"/>
    <x v="2"/>
    <d v="2024-09-08T00:00:00"/>
    <x v="0"/>
    <n v="10"/>
    <x v="2"/>
    <x v="1"/>
    <x v="1"/>
    <s v="Yes"/>
    <n v="20"/>
    <x v="6"/>
    <x v="7"/>
  </r>
  <r>
    <n v="3427"/>
    <x v="190"/>
    <x v="1"/>
    <d v="2024-09-09T00:00:00"/>
    <x v="1"/>
    <n v="5"/>
    <x v="0"/>
    <x v="1"/>
    <x v="1"/>
    <s v="No"/>
    <n v="0"/>
    <x v="4"/>
    <x v="4"/>
  </r>
  <r>
    <n v="3428"/>
    <x v="191"/>
    <x v="0"/>
    <d v="2024-09-10T00:00:00"/>
    <x v="0"/>
    <n v="15"/>
    <x v="1"/>
    <x v="0"/>
    <x v="0"/>
    <s v="Yes"/>
    <n v="20"/>
    <x v="3"/>
    <x v="3"/>
  </r>
  <r>
    <n v="3429"/>
    <x v="192"/>
    <x v="2"/>
    <d v="2024-09-11T00:00:00"/>
    <x v="1"/>
    <n v="10"/>
    <x v="0"/>
    <x v="1"/>
    <x v="1"/>
    <s v="Yes"/>
    <n v="20"/>
    <x v="2"/>
    <x v="2"/>
  </r>
  <r>
    <n v="3430"/>
    <x v="193"/>
    <x v="1"/>
    <d v="2024-09-12T00:00:00"/>
    <x v="0"/>
    <n v="5"/>
    <x v="2"/>
    <x v="1"/>
    <x v="1"/>
    <s v="No"/>
    <n v="0"/>
    <x v="1"/>
    <x v="1"/>
  </r>
  <r>
    <n v="3431"/>
    <x v="194"/>
    <x v="0"/>
    <d v="2024-09-13T00:00:00"/>
    <x v="1"/>
    <n v="15"/>
    <x v="0"/>
    <x v="0"/>
    <x v="0"/>
    <s v="Yes"/>
    <n v="20"/>
    <x v="6"/>
    <x v="14"/>
  </r>
  <r>
    <n v="3432"/>
    <x v="195"/>
    <x v="2"/>
    <d v="2024-09-14T00:00:00"/>
    <x v="0"/>
    <n v="10"/>
    <x v="1"/>
    <x v="1"/>
    <x v="1"/>
    <s v="Yes"/>
    <n v="20"/>
    <x v="6"/>
    <x v="7"/>
  </r>
  <r>
    <n v="3433"/>
    <x v="196"/>
    <x v="1"/>
    <d v="2024-09-15T00:00:00"/>
    <x v="1"/>
    <n v="5"/>
    <x v="0"/>
    <x v="1"/>
    <x v="1"/>
    <s v="No"/>
    <n v="0"/>
    <x v="4"/>
    <x v="4"/>
  </r>
  <r>
    <n v="3434"/>
    <x v="197"/>
    <x v="0"/>
    <d v="2024-09-16T00:00:00"/>
    <x v="0"/>
    <n v="15"/>
    <x v="2"/>
    <x v="0"/>
    <x v="0"/>
    <s v="Yes"/>
    <n v="20"/>
    <x v="10"/>
    <x v="12"/>
  </r>
  <r>
    <n v="3435"/>
    <x v="198"/>
    <x v="2"/>
    <d v="2024-09-17T00:00:00"/>
    <x v="1"/>
    <n v="10"/>
    <x v="0"/>
    <x v="1"/>
    <x v="1"/>
    <s v="Yes"/>
    <n v="20"/>
    <x v="2"/>
    <x v="2"/>
  </r>
  <r>
    <n v="3436"/>
    <x v="199"/>
    <x v="1"/>
    <d v="2024-09-18T00:00:00"/>
    <x v="0"/>
    <n v="5"/>
    <x v="0"/>
    <x v="1"/>
    <x v="1"/>
    <s v="No"/>
    <n v="0"/>
    <x v="1"/>
    <x v="1"/>
  </r>
  <r>
    <n v="3437"/>
    <x v="200"/>
    <x v="0"/>
    <d v="2024-09-19T00:00:00"/>
    <x v="1"/>
    <n v="15"/>
    <x v="2"/>
    <x v="0"/>
    <x v="0"/>
    <s v="Yes"/>
    <n v="20"/>
    <x v="10"/>
    <x v="12"/>
  </r>
  <r>
    <n v="3438"/>
    <x v="201"/>
    <x v="2"/>
    <d v="2024-09-20T00:00:00"/>
    <x v="0"/>
    <n v="10"/>
    <x v="1"/>
    <x v="1"/>
    <x v="1"/>
    <s v="Yes"/>
    <n v="20"/>
    <x v="2"/>
    <x v="2"/>
  </r>
  <r>
    <n v="3439"/>
    <x v="202"/>
    <x v="1"/>
    <d v="2024-09-21T00:00:00"/>
    <x v="1"/>
    <n v="5"/>
    <x v="2"/>
    <x v="1"/>
    <x v="1"/>
    <s v="No"/>
    <n v="0"/>
    <x v="4"/>
    <x v="4"/>
  </r>
  <r>
    <n v="3440"/>
    <x v="203"/>
    <x v="0"/>
    <d v="2024-09-22T00:00:00"/>
    <x v="0"/>
    <n v="15"/>
    <x v="0"/>
    <x v="0"/>
    <x v="0"/>
    <s v="Yes"/>
    <n v="20"/>
    <x v="6"/>
    <x v="14"/>
  </r>
  <r>
    <n v="3441"/>
    <x v="204"/>
    <x v="2"/>
    <d v="2024-09-23T00:00:00"/>
    <x v="1"/>
    <n v="10"/>
    <x v="0"/>
    <x v="1"/>
    <x v="1"/>
    <s v="Yes"/>
    <n v="20"/>
    <x v="0"/>
    <x v="13"/>
  </r>
  <r>
    <n v="3442"/>
    <x v="205"/>
    <x v="1"/>
    <d v="2024-09-24T00:00:00"/>
    <x v="0"/>
    <n v="5"/>
    <x v="1"/>
    <x v="1"/>
    <x v="1"/>
    <s v="No"/>
    <n v="0"/>
    <x v="1"/>
    <x v="1"/>
  </r>
  <r>
    <n v="3443"/>
    <x v="206"/>
    <x v="0"/>
    <d v="2024-09-25T00:00:00"/>
    <x v="1"/>
    <n v="15"/>
    <x v="2"/>
    <x v="0"/>
    <x v="0"/>
    <s v="Yes"/>
    <n v="20"/>
    <x v="7"/>
    <x v="8"/>
  </r>
  <r>
    <n v="3444"/>
    <x v="207"/>
    <x v="2"/>
    <d v="2024-09-26T00:00:00"/>
    <x v="0"/>
    <n v="10"/>
    <x v="2"/>
    <x v="1"/>
    <x v="1"/>
    <s v="Yes"/>
    <n v="20"/>
    <x v="9"/>
    <x v="10"/>
  </r>
  <r>
    <n v="3445"/>
    <x v="37"/>
    <x v="1"/>
    <d v="2024-09-27T00:00:00"/>
    <x v="1"/>
    <n v="5"/>
    <x v="0"/>
    <x v="1"/>
    <x v="1"/>
    <s v="No"/>
    <n v="0"/>
    <x v="5"/>
    <x v="11"/>
  </r>
  <r>
    <n v="3446"/>
    <x v="208"/>
    <x v="0"/>
    <d v="2024-09-28T00:00:00"/>
    <x v="0"/>
    <n v="15"/>
    <x v="1"/>
    <x v="0"/>
    <x v="0"/>
    <s v="Yes"/>
    <n v="20"/>
    <x v="0"/>
    <x v="0"/>
  </r>
  <r>
    <n v="3447"/>
    <x v="209"/>
    <x v="2"/>
    <d v="2024-09-29T00:00:00"/>
    <x v="1"/>
    <n v="10"/>
    <x v="0"/>
    <x v="1"/>
    <x v="1"/>
    <s v="Yes"/>
    <n v="20"/>
    <x v="2"/>
    <x v="2"/>
  </r>
  <r>
    <n v="3448"/>
    <x v="210"/>
    <x v="1"/>
    <d v="2024-09-30T00:00:00"/>
    <x v="0"/>
    <n v="5"/>
    <x v="2"/>
    <x v="1"/>
    <x v="1"/>
    <s v="No"/>
    <n v="0"/>
    <x v="1"/>
    <x v="1"/>
  </r>
  <r>
    <n v="3449"/>
    <x v="211"/>
    <x v="0"/>
    <d v="2024-10-01T00:00:00"/>
    <x v="1"/>
    <n v="15"/>
    <x v="0"/>
    <x v="0"/>
    <x v="0"/>
    <s v="Yes"/>
    <n v="20"/>
    <x v="3"/>
    <x v="3"/>
  </r>
  <r>
    <n v="3450"/>
    <x v="212"/>
    <x v="2"/>
    <d v="2024-10-02T00:00:00"/>
    <x v="0"/>
    <n v="10"/>
    <x v="1"/>
    <x v="1"/>
    <x v="1"/>
    <s v="Yes"/>
    <n v="20"/>
    <x v="6"/>
    <x v="7"/>
  </r>
  <r>
    <n v="3451"/>
    <x v="213"/>
    <x v="1"/>
    <d v="2024-10-03T00:00:00"/>
    <x v="1"/>
    <n v="5"/>
    <x v="0"/>
    <x v="1"/>
    <x v="1"/>
    <s v="No"/>
    <n v="0"/>
    <x v="4"/>
    <x v="4"/>
  </r>
  <r>
    <n v="3452"/>
    <x v="191"/>
    <x v="0"/>
    <d v="2024-10-04T00:00:00"/>
    <x v="0"/>
    <n v="15"/>
    <x v="2"/>
    <x v="0"/>
    <x v="0"/>
    <s v="Yes"/>
    <n v="20"/>
    <x v="10"/>
    <x v="12"/>
  </r>
  <r>
    <n v="3453"/>
    <x v="45"/>
    <x v="2"/>
    <d v="2024-10-05T00:00:00"/>
    <x v="1"/>
    <n v="10"/>
    <x v="0"/>
    <x v="1"/>
    <x v="1"/>
    <s v="Yes"/>
    <n v="20"/>
    <x v="2"/>
    <x v="2"/>
  </r>
  <r>
    <n v="3454"/>
    <x v="214"/>
    <x v="1"/>
    <d v="2024-10-06T00:00:00"/>
    <x v="0"/>
    <n v="5"/>
    <x v="1"/>
    <x v="1"/>
    <x v="1"/>
    <s v="No"/>
    <n v="0"/>
    <x v="1"/>
    <x v="1"/>
  </r>
  <r>
    <n v="3455"/>
    <x v="215"/>
    <x v="0"/>
    <d v="2024-10-07T00:00:00"/>
    <x v="1"/>
    <n v="15"/>
    <x v="0"/>
    <x v="0"/>
    <x v="0"/>
    <s v="Yes"/>
    <n v="20"/>
    <x v="7"/>
    <x v="8"/>
  </r>
  <r>
    <n v="3456"/>
    <x v="216"/>
    <x v="2"/>
    <d v="2024-10-08T00:00:00"/>
    <x v="0"/>
    <n v="10"/>
    <x v="2"/>
    <x v="1"/>
    <x v="1"/>
    <s v="Yes"/>
    <n v="20"/>
    <x v="6"/>
    <x v="7"/>
  </r>
  <r>
    <n v="3457"/>
    <x v="217"/>
    <x v="1"/>
    <d v="2024-10-09T00:00:00"/>
    <x v="1"/>
    <n v="5"/>
    <x v="0"/>
    <x v="1"/>
    <x v="1"/>
    <s v="No"/>
    <n v="0"/>
    <x v="4"/>
    <x v="4"/>
  </r>
  <r>
    <n v="3458"/>
    <x v="218"/>
    <x v="0"/>
    <d v="2024-10-10T00:00:00"/>
    <x v="0"/>
    <n v="15"/>
    <x v="1"/>
    <x v="0"/>
    <x v="0"/>
    <s v="Yes"/>
    <n v="20"/>
    <x v="3"/>
    <x v="3"/>
  </r>
  <r>
    <n v="3459"/>
    <x v="219"/>
    <x v="2"/>
    <d v="2024-10-11T00:00:00"/>
    <x v="1"/>
    <n v="10"/>
    <x v="0"/>
    <x v="1"/>
    <x v="1"/>
    <s v="Yes"/>
    <n v="20"/>
    <x v="2"/>
    <x v="2"/>
  </r>
  <r>
    <n v="3460"/>
    <x v="127"/>
    <x v="1"/>
    <d v="2024-10-12T00:00:00"/>
    <x v="0"/>
    <n v="5"/>
    <x v="2"/>
    <x v="1"/>
    <x v="1"/>
    <s v="No"/>
    <n v="0"/>
    <x v="1"/>
    <x v="1"/>
  </r>
  <r>
    <n v="3461"/>
    <x v="220"/>
    <x v="0"/>
    <d v="2024-10-13T00:00:00"/>
    <x v="1"/>
    <n v="15"/>
    <x v="0"/>
    <x v="0"/>
    <x v="0"/>
    <s v="Yes"/>
    <n v="20"/>
    <x v="6"/>
    <x v="14"/>
  </r>
  <r>
    <n v="3462"/>
    <x v="221"/>
    <x v="2"/>
    <d v="2024-10-14T00:00:00"/>
    <x v="0"/>
    <n v="10"/>
    <x v="1"/>
    <x v="1"/>
    <x v="1"/>
    <s v="Yes"/>
    <n v="20"/>
    <x v="6"/>
    <x v="7"/>
  </r>
  <r>
    <n v="3463"/>
    <x v="222"/>
    <x v="1"/>
    <d v="2024-10-15T00:00:00"/>
    <x v="1"/>
    <n v="5"/>
    <x v="0"/>
    <x v="1"/>
    <x v="1"/>
    <s v="No"/>
    <n v="0"/>
    <x v="4"/>
    <x v="4"/>
  </r>
  <r>
    <n v="3464"/>
    <x v="223"/>
    <x v="0"/>
    <d v="2024-10-16T00:00:00"/>
    <x v="0"/>
    <n v="15"/>
    <x v="2"/>
    <x v="0"/>
    <x v="0"/>
    <s v="Yes"/>
    <n v="20"/>
    <x v="10"/>
    <x v="12"/>
  </r>
  <r>
    <n v="3465"/>
    <x v="224"/>
    <x v="2"/>
    <d v="2024-10-17T00:00:00"/>
    <x v="1"/>
    <n v="10"/>
    <x v="0"/>
    <x v="1"/>
    <x v="1"/>
    <s v="Yes"/>
    <n v="20"/>
    <x v="2"/>
    <x v="2"/>
  </r>
  <r>
    <n v="3466"/>
    <x v="225"/>
    <x v="1"/>
    <d v="2024-10-18T00:00:00"/>
    <x v="0"/>
    <n v="5"/>
    <x v="1"/>
    <x v="1"/>
    <x v="1"/>
    <s v="No"/>
    <n v="0"/>
    <x v="1"/>
    <x v="1"/>
  </r>
  <r>
    <n v="3467"/>
    <x v="226"/>
    <x v="0"/>
    <d v="2024-10-19T00:00:00"/>
    <x v="1"/>
    <n v="15"/>
    <x v="0"/>
    <x v="0"/>
    <x v="0"/>
    <s v="Yes"/>
    <n v="20"/>
    <x v="6"/>
    <x v="14"/>
  </r>
  <r>
    <n v="3468"/>
    <x v="227"/>
    <x v="2"/>
    <d v="2024-10-20T00:00:00"/>
    <x v="0"/>
    <n v="10"/>
    <x v="2"/>
    <x v="1"/>
    <x v="1"/>
    <s v="Yes"/>
    <n v="20"/>
    <x v="9"/>
    <x v="10"/>
  </r>
  <r>
    <n v="3469"/>
    <x v="228"/>
    <x v="1"/>
    <d v="2024-10-21T00:00:00"/>
    <x v="1"/>
    <n v="5"/>
    <x v="0"/>
    <x v="1"/>
    <x v="1"/>
    <s v="No"/>
    <n v="0"/>
    <x v="5"/>
    <x v="11"/>
  </r>
  <r>
    <n v="3470"/>
    <x v="229"/>
    <x v="0"/>
    <d v="2024-10-22T00:00:00"/>
    <x v="0"/>
    <n v="15"/>
    <x v="1"/>
    <x v="0"/>
    <x v="0"/>
    <s v="Yes"/>
    <n v="20"/>
    <x v="0"/>
    <x v="0"/>
  </r>
  <r>
    <n v="3471"/>
    <x v="230"/>
    <x v="2"/>
    <d v="2024-10-23T00:00:00"/>
    <x v="1"/>
    <n v="10"/>
    <x v="0"/>
    <x v="1"/>
    <x v="1"/>
    <s v="Yes"/>
    <n v="20"/>
    <x v="2"/>
    <x v="2"/>
  </r>
  <r>
    <n v="3472"/>
    <x v="231"/>
    <x v="1"/>
    <d v="2024-10-24T00:00:00"/>
    <x v="0"/>
    <n v="5"/>
    <x v="2"/>
    <x v="1"/>
    <x v="1"/>
    <s v="No"/>
    <n v="0"/>
    <x v="1"/>
    <x v="1"/>
  </r>
  <r>
    <n v="3473"/>
    <x v="140"/>
    <x v="0"/>
    <d v="2024-10-25T00:00:00"/>
    <x v="1"/>
    <n v="15"/>
    <x v="0"/>
    <x v="0"/>
    <x v="0"/>
    <s v="Yes"/>
    <n v="20"/>
    <x v="3"/>
    <x v="3"/>
  </r>
  <r>
    <n v="3474"/>
    <x v="232"/>
    <x v="2"/>
    <d v="2024-10-26T00:00:00"/>
    <x v="0"/>
    <n v="10"/>
    <x v="1"/>
    <x v="1"/>
    <x v="1"/>
    <s v="Yes"/>
    <n v="20"/>
    <x v="6"/>
    <x v="7"/>
  </r>
  <r>
    <n v="3475"/>
    <x v="233"/>
    <x v="1"/>
    <d v="2024-10-27T00:00:00"/>
    <x v="1"/>
    <n v="5"/>
    <x v="0"/>
    <x v="1"/>
    <x v="1"/>
    <s v="No"/>
    <n v="0"/>
    <x v="4"/>
    <x v="4"/>
  </r>
  <r>
    <n v="3476"/>
    <x v="234"/>
    <x v="0"/>
    <d v="2024-10-28T00:00:00"/>
    <x v="0"/>
    <n v="15"/>
    <x v="2"/>
    <x v="0"/>
    <x v="0"/>
    <s v="Yes"/>
    <n v="20"/>
    <x v="10"/>
    <x v="12"/>
  </r>
  <r>
    <n v="3477"/>
    <x v="235"/>
    <x v="2"/>
    <d v="2024-10-29T00:00:00"/>
    <x v="1"/>
    <n v="10"/>
    <x v="0"/>
    <x v="1"/>
    <x v="1"/>
    <s v="Yes"/>
    <n v="20"/>
    <x v="2"/>
    <x v="2"/>
  </r>
  <r>
    <n v="3478"/>
    <x v="236"/>
    <x v="1"/>
    <d v="2024-10-30T00:00:00"/>
    <x v="0"/>
    <n v="5"/>
    <x v="1"/>
    <x v="1"/>
    <x v="1"/>
    <s v="No"/>
    <n v="0"/>
    <x v="1"/>
    <x v="1"/>
  </r>
  <r>
    <n v="3479"/>
    <x v="237"/>
    <x v="0"/>
    <d v="2024-10-31T00:00:00"/>
    <x v="1"/>
    <n v="15"/>
    <x v="0"/>
    <x v="0"/>
    <x v="0"/>
    <s v="Yes"/>
    <n v="20"/>
    <x v="7"/>
    <x v="8"/>
  </r>
  <r>
    <n v="3480"/>
    <x v="238"/>
    <x v="2"/>
    <d v="2024-11-01T00:00:00"/>
    <x v="0"/>
    <n v="10"/>
    <x v="2"/>
    <x v="1"/>
    <x v="1"/>
    <s v="Yes"/>
    <n v="20"/>
    <x v="6"/>
    <x v="7"/>
  </r>
  <r>
    <n v="3481"/>
    <x v="239"/>
    <x v="1"/>
    <d v="2024-11-02T00:00:00"/>
    <x v="1"/>
    <n v="5"/>
    <x v="0"/>
    <x v="1"/>
    <x v="1"/>
    <s v="No"/>
    <n v="0"/>
    <x v="4"/>
    <x v="4"/>
  </r>
  <r>
    <n v="3482"/>
    <x v="240"/>
    <x v="0"/>
    <d v="2024-11-03T00:00:00"/>
    <x v="0"/>
    <n v="15"/>
    <x v="1"/>
    <x v="0"/>
    <x v="0"/>
    <s v="Yes"/>
    <n v="20"/>
    <x v="3"/>
    <x v="3"/>
  </r>
  <r>
    <n v="3483"/>
    <x v="241"/>
    <x v="2"/>
    <d v="2024-11-04T00:00:00"/>
    <x v="1"/>
    <n v="10"/>
    <x v="0"/>
    <x v="1"/>
    <x v="1"/>
    <s v="Yes"/>
    <n v="20"/>
    <x v="2"/>
    <x v="2"/>
  </r>
  <r>
    <n v="3484"/>
    <x v="242"/>
    <x v="1"/>
    <d v="2024-11-05T00:00:00"/>
    <x v="0"/>
    <n v="5"/>
    <x v="2"/>
    <x v="1"/>
    <x v="1"/>
    <s v="No"/>
    <n v="0"/>
    <x v="1"/>
    <x v="1"/>
  </r>
  <r>
    <n v="3485"/>
    <x v="243"/>
    <x v="0"/>
    <d v="2024-11-06T00:00:00"/>
    <x v="1"/>
    <n v="15"/>
    <x v="0"/>
    <x v="0"/>
    <x v="0"/>
    <s v="Yes"/>
    <n v="20"/>
    <x v="6"/>
    <x v="14"/>
  </r>
  <r>
    <n v="3486"/>
    <x v="244"/>
    <x v="1"/>
    <d v="2024-11-07T00:00:00"/>
    <x v="0"/>
    <n v="5"/>
    <x v="0"/>
    <x v="1"/>
    <x v="1"/>
    <s v="No"/>
    <n v="0"/>
    <x v="1"/>
    <x v="1"/>
  </r>
  <r>
    <n v="3487"/>
    <x v="245"/>
    <x v="0"/>
    <d v="2024-11-08T00:00:00"/>
    <x v="1"/>
    <n v="15"/>
    <x v="2"/>
    <x v="0"/>
    <x v="0"/>
    <s v="Yes"/>
    <n v="20"/>
    <x v="10"/>
    <x v="12"/>
  </r>
  <r>
    <n v="3488"/>
    <x v="246"/>
    <x v="2"/>
    <d v="2024-11-09T00:00:00"/>
    <x v="0"/>
    <n v="10"/>
    <x v="1"/>
    <x v="1"/>
    <x v="1"/>
    <s v="Yes"/>
    <n v="20"/>
    <x v="2"/>
    <x v="2"/>
  </r>
  <r>
    <n v="3489"/>
    <x v="247"/>
    <x v="1"/>
    <d v="2024-11-10T00:00:00"/>
    <x v="1"/>
    <n v="5"/>
    <x v="2"/>
    <x v="1"/>
    <x v="1"/>
    <s v="No"/>
    <n v="0"/>
    <x v="4"/>
    <x v="4"/>
  </r>
  <r>
    <n v="3490"/>
    <x v="248"/>
    <x v="0"/>
    <d v="2024-11-11T00:00:00"/>
    <x v="0"/>
    <n v="15"/>
    <x v="0"/>
    <x v="0"/>
    <x v="0"/>
    <s v="Yes"/>
    <n v="20"/>
    <x v="6"/>
    <x v="14"/>
  </r>
  <r>
    <n v="3491"/>
    <x v="249"/>
    <x v="2"/>
    <d v="2024-11-12T00:00:00"/>
    <x v="1"/>
    <n v="10"/>
    <x v="0"/>
    <x v="1"/>
    <x v="1"/>
    <s v="Yes"/>
    <n v="20"/>
    <x v="0"/>
    <x v="13"/>
  </r>
  <r>
    <n v="3492"/>
    <x v="250"/>
    <x v="1"/>
    <d v="2024-11-13T00:00:00"/>
    <x v="0"/>
    <n v="5"/>
    <x v="1"/>
    <x v="1"/>
    <x v="1"/>
    <s v="No"/>
    <n v="0"/>
    <x v="1"/>
    <x v="1"/>
  </r>
  <r>
    <n v="3493"/>
    <x v="251"/>
    <x v="0"/>
    <d v="2024-11-14T00:00:00"/>
    <x v="1"/>
    <n v="15"/>
    <x v="2"/>
    <x v="0"/>
    <x v="0"/>
    <s v="Yes"/>
    <n v="20"/>
    <x v="7"/>
    <x v="8"/>
  </r>
  <r>
    <n v="3494"/>
    <x v="252"/>
    <x v="2"/>
    <d v="2024-11-15T00:00:00"/>
    <x v="0"/>
    <n v="10"/>
    <x v="2"/>
    <x v="1"/>
    <x v="1"/>
    <s v="Yes"/>
    <n v="20"/>
    <x v="9"/>
    <x v="10"/>
  </r>
  <r>
    <n v="3495"/>
    <x v="253"/>
    <x v="1"/>
    <d v="2024-11-16T00:00:00"/>
    <x v="1"/>
    <n v="5"/>
    <x v="0"/>
    <x v="1"/>
    <x v="1"/>
    <s v="No"/>
    <n v="0"/>
    <x v="5"/>
    <x v="11"/>
  </r>
  <r>
    <n v="3496"/>
    <x v="254"/>
    <x v="0"/>
    <d v="2024-11-17T00:00:00"/>
    <x v="0"/>
    <n v="15"/>
    <x v="1"/>
    <x v="0"/>
    <x v="0"/>
    <s v="Yes"/>
    <n v="20"/>
    <x v="0"/>
    <x v="0"/>
  </r>
  <r>
    <n v="3497"/>
    <x v="255"/>
    <x v="2"/>
    <d v="2024-11-18T00:00:00"/>
    <x v="1"/>
    <n v="10"/>
    <x v="0"/>
    <x v="1"/>
    <x v="1"/>
    <s v="Yes"/>
    <n v="20"/>
    <x v="2"/>
    <x v="2"/>
  </r>
  <r>
    <n v="3498"/>
    <x v="256"/>
    <x v="1"/>
    <d v="2024-11-19T00:00:00"/>
    <x v="0"/>
    <n v="5"/>
    <x v="2"/>
    <x v="1"/>
    <x v="1"/>
    <s v="No"/>
    <n v="0"/>
    <x v="1"/>
    <x v="1"/>
  </r>
  <r>
    <n v="3499"/>
    <x v="257"/>
    <x v="0"/>
    <d v="2024-11-20T00:00:00"/>
    <x v="1"/>
    <n v="15"/>
    <x v="0"/>
    <x v="0"/>
    <x v="0"/>
    <s v="Yes"/>
    <n v="20"/>
    <x v="3"/>
    <x v="3"/>
  </r>
  <r>
    <n v="3500"/>
    <x v="258"/>
    <x v="2"/>
    <d v="2024-11-21T00:00:00"/>
    <x v="0"/>
    <n v="10"/>
    <x v="1"/>
    <x v="1"/>
    <x v="1"/>
    <s v="Yes"/>
    <n v="20"/>
    <x v="6"/>
    <x v="7"/>
  </r>
  <r>
    <n v="3501"/>
    <x v="259"/>
    <x v="1"/>
    <d v="2024-11-22T00:00:00"/>
    <x v="1"/>
    <n v="5"/>
    <x v="0"/>
    <x v="1"/>
    <x v="1"/>
    <s v="No"/>
    <n v="0"/>
    <x v="4"/>
    <x v="4"/>
  </r>
  <r>
    <n v="3502"/>
    <x v="260"/>
    <x v="0"/>
    <d v="2024-11-23T00:00:00"/>
    <x v="0"/>
    <n v="15"/>
    <x v="2"/>
    <x v="0"/>
    <x v="0"/>
    <s v="Yes"/>
    <n v="20"/>
    <x v="10"/>
    <x v="12"/>
  </r>
  <r>
    <n v="3503"/>
    <x v="119"/>
    <x v="2"/>
    <d v="2024-11-24T00:00:00"/>
    <x v="1"/>
    <n v="10"/>
    <x v="0"/>
    <x v="1"/>
    <x v="1"/>
    <s v="Yes"/>
    <n v="20"/>
    <x v="2"/>
    <x v="2"/>
  </r>
  <r>
    <n v="3504"/>
    <x v="261"/>
    <x v="1"/>
    <d v="2024-11-25T00:00:00"/>
    <x v="0"/>
    <n v="5"/>
    <x v="1"/>
    <x v="1"/>
    <x v="1"/>
    <s v="No"/>
    <n v="0"/>
    <x v="1"/>
    <x v="1"/>
  </r>
  <r>
    <n v="3505"/>
    <x v="262"/>
    <x v="0"/>
    <d v="2024-11-26T00:00:00"/>
    <x v="1"/>
    <n v="15"/>
    <x v="0"/>
    <x v="0"/>
    <x v="0"/>
    <s v="Yes"/>
    <n v="20"/>
    <x v="7"/>
    <x v="8"/>
  </r>
  <r>
    <n v="3506"/>
    <x v="263"/>
    <x v="2"/>
    <d v="2024-11-27T00:00:00"/>
    <x v="0"/>
    <n v="10"/>
    <x v="2"/>
    <x v="1"/>
    <x v="1"/>
    <s v="Yes"/>
    <n v="20"/>
    <x v="6"/>
    <x v="7"/>
  </r>
  <r>
    <n v="3507"/>
    <x v="264"/>
    <x v="1"/>
    <d v="2024-11-28T00:00:00"/>
    <x v="1"/>
    <n v="5"/>
    <x v="0"/>
    <x v="1"/>
    <x v="1"/>
    <s v="No"/>
    <n v="0"/>
    <x v="4"/>
    <x v="4"/>
  </r>
  <r>
    <n v="3508"/>
    <x v="265"/>
    <x v="0"/>
    <d v="2024-11-29T00:00:00"/>
    <x v="0"/>
    <n v="15"/>
    <x v="1"/>
    <x v="0"/>
    <x v="0"/>
    <s v="Yes"/>
    <n v="20"/>
    <x v="3"/>
    <x v="3"/>
  </r>
  <r>
    <n v="3509"/>
    <x v="266"/>
    <x v="2"/>
    <d v="2024-11-30T00:00:00"/>
    <x v="1"/>
    <n v="10"/>
    <x v="0"/>
    <x v="1"/>
    <x v="1"/>
    <s v="Yes"/>
    <n v="20"/>
    <x v="2"/>
    <x v="2"/>
  </r>
  <r>
    <n v="3510"/>
    <x v="267"/>
    <x v="1"/>
    <d v="2024-12-01T00:00:00"/>
    <x v="0"/>
    <n v="5"/>
    <x v="2"/>
    <x v="1"/>
    <x v="1"/>
    <s v="No"/>
    <n v="0"/>
    <x v="1"/>
    <x v="1"/>
  </r>
  <r>
    <n v="3511"/>
    <x v="268"/>
    <x v="0"/>
    <d v="2024-12-02T00:00:00"/>
    <x v="1"/>
    <n v="15"/>
    <x v="0"/>
    <x v="0"/>
    <x v="0"/>
    <s v="Yes"/>
    <n v="20"/>
    <x v="6"/>
    <x v="14"/>
  </r>
  <r>
    <n v="3512"/>
    <x v="269"/>
    <x v="2"/>
    <d v="2024-12-03T00:00:00"/>
    <x v="0"/>
    <n v="10"/>
    <x v="1"/>
    <x v="1"/>
    <x v="1"/>
    <s v="Yes"/>
    <n v="20"/>
    <x v="6"/>
    <x v="7"/>
  </r>
  <r>
    <n v="3513"/>
    <x v="270"/>
    <x v="1"/>
    <d v="2024-12-04T00:00:00"/>
    <x v="1"/>
    <n v="5"/>
    <x v="0"/>
    <x v="1"/>
    <x v="1"/>
    <s v="No"/>
    <n v="0"/>
    <x v="4"/>
    <x v="4"/>
  </r>
  <r>
    <n v="3514"/>
    <x v="271"/>
    <x v="0"/>
    <d v="2024-12-05T00:00:00"/>
    <x v="0"/>
    <n v="15"/>
    <x v="2"/>
    <x v="0"/>
    <x v="0"/>
    <s v="Yes"/>
    <n v="20"/>
    <x v="10"/>
    <x v="12"/>
  </r>
  <r>
    <n v="3515"/>
    <x v="130"/>
    <x v="2"/>
    <d v="2024-12-06T00:00:00"/>
    <x v="1"/>
    <n v="10"/>
    <x v="0"/>
    <x v="1"/>
    <x v="1"/>
    <s v="Yes"/>
    <n v="20"/>
    <x v="2"/>
    <x v="2"/>
  </r>
  <r>
    <n v="3516"/>
    <x v="131"/>
    <x v="1"/>
    <d v="2024-12-07T00:00:00"/>
    <x v="0"/>
    <n v="5"/>
    <x v="1"/>
    <x v="1"/>
    <x v="1"/>
    <s v="No"/>
    <n v="0"/>
    <x v="1"/>
    <x v="1"/>
  </r>
  <r>
    <n v="3517"/>
    <x v="181"/>
    <x v="0"/>
    <d v="2024-12-08T00:00:00"/>
    <x v="1"/>
    <n v="15"/>
    <x v="0"/>
    <x v="0"/>
    <x v="0"/>
    <s v="Yes"/>
    <n v="20"/>
    <x v="7"/>
    <x v="8"/>
  </r>
  <r>
    <n v="3518"/>
    <x v="272"/>
    <x v="2"/>
    <d v="2024-12-09T00:00:00"/>
    <x v="0"/>
    <n v="10"/>
    <x v="2"/>
    <x v="1"/>
    <x v="1"/>
    <s v="Yes"/>
    <n v="20"/>
    <x v="9"/>
    <x v="10"/>
  </r>
  <r>
    <n v="3519"/>
    <x v="273"/>
    <x v="1"/>
    <d v="2024-12-10T00:00:00"/>
    <x v="1"/>
    <n v="5"/>
    <x v="0"/>
    <x v="1"/>
    <x v="1"/>
    <s v="No"/>
    <n v="0"/>
    <x v="5"/>
    <x v="11"/>
  </r>
  <r>
    <n v="3520"/>
    <x v="274"/>
    <x v="0"/>
    <d v="2024-12-11T00:00:00"/>
    <x v="0"/>
    <n v="15"/>
    <x v="1"/>
    <x v="0"/>
    <x v="0"/>
    <s v="Yes"/>
    <n v="20"/>
    <x v="0"/>
    <x v="0"/>
  </r>
  <r>
    <n v="3521"/>
    <x v="275"/>
    <x v="2"/>
    <d v="2024-12-12T00:00:00"/>
    <x v="1"/>
    <n v="10"/>
    <x v="0"/>
    <x v="1"/>
    <x v="1"/>
    <s v="Yes"/>
    <n v="20"/>
    <x v="2"/>
    <x v="2"/>
  </r>
  <r>
    <n v="3522"/>
    <x v="276"/>
    <x v="1"/>
    <d v="2024-12-13T00:00:00"/>
    <x v="0"/>
    <n v="5"/>
    <x v="2"/>
    <x v="1"/>
    <x v="1"/>
    <s v="No"/>
    <n v="0"/>
    <x v="1"/>
    <x v="1"/>
  </r>
  <r>
    <n v="3523"/>
    <x v="277"/>
    <x v="0"/>
    <d v="2024-12-14T00:00:00"/>
    <x v="1"/>
    <n v="15"/>
    <x v="0"/>
    <x v="0"/>
    <x v="0"/>
    <s v="Yes"/>
    <n v="20"/>
    <x v="3"/>
    <x v="3"/>
  </r>
  <r>
    <n v="3524"/>
    <x v="278"/>
    <x v="2"/>
    <d v="2024-12-15T00:00:00"/>
    <x v="0"/>
    <n v="10"/>
    <x v="1"/>
    <x v="1"/>
    <x v="1"/>
    <s v="Yes"/>
    <n v="20"/>
    <x v="6"/>
    <x v="7"/>
  </r>
  <r>
    <n v="3525"/>
    <x v="279"/>
    <x v="1"/>
    <d v="2024-12-16T00:00:00"/>
    <x v="1"/>
    <n v="5"/>
    <x v="0"/>
    <x v="1"/>
    <x v="1"/>
    <s v="No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323D4-F4F9-4050-92EC-FEF62D261CE8}" name="tbl_descontos_anuais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B48:D52" firstHeaderRow="0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Plan" fld="2" subtotal="count" baseField="0" baseItem="0"/>
    <dataField name="Soma de Total Value" fld="12" baseField="0" baseItem="0" numFmtId="44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043EC-8AE4-4E2A-9D56-04B59AD1DB47}" name="tbl_mineseasonpass_total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6:C40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723C8-659B-46DC-9BCC-36E85BCA0883}" name="tbl_easeasonpass_total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4:C28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40FD-4C60-4AD6-B61F-51BC91A4FFD6}" name="tbl_annual_total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B12:C15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AEDA1DB-12AB-43D3-92D9-1989C1C7B856}" sourceName="Subscription Type">
  <pivotTables>
    <pivotTable tabId="3" name="tbl_annual_total"/>
    <pivotTable tabId="3" name="tbl_easeasonpass_total"/>
    <pivotTable tabId="3" name="tbl_mineseasonpass_total"/>
    <pivotTable tabId="3" name="tbl_descontos_anuais"/>
  </pivotTables>
  <data>
    <tabular pivotCacheId="160797738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C4D3738-38F2-4A38-9684-3A806E23FB1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4">
      <filters>
        <filter val="No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EAA12-E9D5-4C23-B167-3DE0F27B0DF9}" name="Tabela2" displayName="Tabela2" ref="A3:M74" totalsRowShown="0">
  <autoFilter ref="A3:M74" xr:uid="{812EAA12-E9D5-4C23-B167-3DE0F27B0DF9}"/>
  <tableColumns count="13">
    <tableColumn id="1" xr3:uid="{3E63E50F-3A06-4855-BCAF-1A9ED569AE27}" name="Subscriber ID"/>
    <tableColumn id="2" xr3:uid="{8062B839-651D-4D90-9307-F5E9C48853EF}" name="Name"/>
    <tableColumn id="3" xr3:uid="{DAC4D55D-3624-41BC-AAFA-365D7DAC014A}" name="Plan"/>
    <tableColumn id="4" xr3:uid="{731965EC-DA61-43AB-B92F-A4850EEFD4AC}" name="Start Date" dataDxfId="2"/>
    <tableColumn id="5" xr3:uid="{43643A97-0CB7-49A6-8E5B-125E7E2C8BF9}" name="Auto Renewal"/>
    <tableColumn id="6" xr3:uid="{D529FA48-FDE1-4FF6-B6CC-4DB17E04827D}" name="Subscription Price"/>
    <tableColumn id="7" xr3:uid="{4DD6C464-8D78-4AAC-BB65-73140FC3D492}" name="Subscription Type"/>
    <tableColumn id="8" xr3:uid="{679416E8-52C3-467A-AE4B-3C535C852699}" name="EA Play Season Pass"/>
    <tableColumn id="9" xr3:uid="{6D82AF98-FB73-48C2-A1CD-143FEFDB269E}" name="EA Play Season Pass_x000a_Price"/>
    <tableColumn id="10" xr3:uid="{5ACFD472-08BE-445C-88EC-BC49C2BFCED3}" name="Minecraft Season Pass"/>
    <tableColumn id="11" xr3:uid="{C254A71F-3623-4460-96B0-92AC11D9A827}" name="Minecraft Season Pass Price"/>
    <tableColumn id="12" xr3:uid="{5C4A65BD-0C5E-4B0A-A88D-C1918961058E}" name="Coupon Value"/>
    <tableColumn id="13" xr3:uid="{A128E1C3-3192-4EE1-A4E3-7F45AA702528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X21" sqref="X2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3" sqref="L3:L10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8401-2BBF-447E-B6E7-4325FE10EB08}">
  <sheetPr>
    <tabColor theme="3" tint="0.749992370372631"/>
  </sheetPr>
  <dimension ref="A1:M74"/>
  <sheetViews>
    <sheetView workbookViewId="0">
      <selection activeCell="A3" sqref="A3:M74"/>
    </sheetView>
  </sheetViews>
  <sheetFormatPr defaultRowHeight="15" x14ac:dyDescent="0.25"/>
  <cols>
    <col min="1" max="1" width="15.5703125" bestFit="1" customWidth="1"/>
    <col min="2" max="2" width="18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6" t="s">
        <v>317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3524</v>
      </c>
      <c r="B4" t="s">
        <v>307</v>
      </c>
      <c r="C4" t="s">
        <v>26</v>
      </c>
      <c r="D4" s="15">
        <v>45641</v>
      </c>
      <c r="E4" t="s">
        <v>19</v>
      </c>
      <c r="F4">
        <v>10</v>
      </c>
      <c r="G4" t="s">
        <v>24</v>
      </c>
      <c r="H4" t="s">
        <v>23</v>
      </c>
      <c r="I4" t="s">
        <v>311</v>
      </c>
      <c r="J4" t="s">
        <v>19</v>
      </c>
      <c r="K4">
        <v>20</v>
      </c>
      <c r="L4">
        <v>15</v>
      </c>
      <c r="M4">
        <v>15</v>
      </c>
    </row>
    <row r="5" spans="1:13" x14ac:dyDescent="0.25">
      <c r="A5">
        <v>3232</v>
      </c>
      <c r="B5" t="s">
        <v>21</v>
      </c>
      <c r="C5" t="s">
        <v>22</v>
      </c>
      <c r="D5" s="15">
        <v>45306</v>
      </c>
      <c r="E5" t="s">
        <v>23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25">
      <c r="A6">
        <v>3520</v>
      </c>
      <c r="B6" t="s">
        <v>303</v>
      </c>
      <c r="C6" t="s">
        <v>18</v>
      </c>
      <c r="D6" s="15">
        <v>45637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25">
      <c r="A7">
        <v>3516</v>
      </c>
      <c r="B7" t="s">
        <v>160</v>
      </c>
      <c r="C7" t="s">
        <v>22</v>
      </c>
      <c r="D7" s="15">
        <v>45633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25">
      <c r="A8">
        <v>3512</v>
      </c>
      <c r="B8" t="s">
        <v>298</v>
      </c>
      <c r="C8" t="s">
        <v>26</v>
      </c>
      <c r="D8" s="15">
        <v>45629</v>
      </c>
      <c r="E8" t="s">
        <v>19</v>
      </c>
      <c r="F8">
        <v>10</v>
      </c>
      <c r="G8" t="s">
        <v>24</v>
      </c>
      <c r="H8" t="s">
        <v>23</v>
      </c>
      <c r="I8" t="s">
        <v>311</v>
      </c>
      <c r="J8" t="s">
        <v>19</v>
      </c>
      <c r="K8">
        <v>20</v>
      </c>
      <c r="L8">
        <v>15</v>
      </c>
      <c r="M8">
        <v>15</v>
      </c>
    </row>
    <row r="9" spans="1:13" x14ac:dyDescent="0.25">
      <c r="A9">
        <v>3508</v>
      </c>
      <c r="B9" t="s">
        <v>294</v>
      </c>
      <c r="C9" t="s">
        <v>18</v>
      </c>
      <c r="D9" s="15">
        <v>45625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25">
      <c r="A10">
        <v>3504</v>
      </c>
      <c r="B10" t="s">
        <v>290</v>
      </c>
      <c r="C10" t="s">
        <v>22</v>
      </c>
      <c r="D10" s="15">
        <v>45621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25">
      <c r="A11">
        <v>3238</v>
      </c>
      <c r="B11" t="s">
        <v>36</v>
      </c>
      <c r="C11" t="s">
        <v>22</v>
      </c>
      <c r="D11" s="15">
        <v>45355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25">
      <c r="A12">
        <v>3500</v>
      </c>
      <c r="B12" t="s">
        <v>287</v>
      </c>
      <c r="C12" t="s">
        <v>26</v>
      </c>
      <c r="D12" s="15">
        <v>45617</v>
      </c>
      <c r="E12" t="s">
        <v>19</v>
      </c>
      <c r="F12">
        <v>10</v>
      </c>
      <c r="G12" t="s">
        <v>24</v>
      </c>
      <c r="H12" t="s">
        <v>23</v>
      </c>
      <c r="I12" t="s">
        <v>311</v>
      </c>
      <c r="J12" t="s">
        <v>19</v>
      </c>
      <c r="K12">
        <v>20</v>
      </c>
      <c r="L12">
        <v>15</v>
      </c>
      <c r="M12">
        <v>15</v>
      </c>
    </row>
    <row r="13" spans="1:13" x14ac:dyDescent="0.25">
      <c r="A13">
        <v>3496</v>
      </c>
      <c r="B13" t="s">
        <v>283</v>
      </c>
      <c r="C13" t="s">
        <v>18</v>
      </c>
      <c r="D13" s="15">
        <v>45613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25">
      <c r="A14">
        <v>3492</v>
      </c>
      <c r="B14" t="s">
        <v>279</v>
      </c>
      <c r="C14" t="s">
        <v>22</v>
      </c>
      <c r="D14" s="15">
        <v>45609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25">
      <c r="A15">
        <v>3242</v>
      </c>
      <c r="B15" t="s">
        <v>40</v>
      </c>
      <c r="C15" t="s">
        <v>18</v>
      </c>
      <c r="D15" s="15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25">
      <c r="A16">
        <v>3488</v>
      </c>
      <c r="B16" t="s">
        <v>275</v>
      </c>
      <c r="C16" t="s">
        <v>26</v>
      </c>
      <c r="D16" s="15">
        <v>45605</v>
      </c>
      <c r="E16" t="s">
        <v>19</v>
      </c>
      <c r="F16">
        <v>10</v>
      </c>
      <c r="G16" t="s">
        <v>24</v>
      </c>
      <c r="H16" t="s">
        <v>23</v>
      </c>
      <c r="I16" t="s">
        <v>311</v>
      </c>
      <c r="J16" t="s">
        <v>19</v>
      </c>
      <c r="K16">
        <v>20</v>
      </c>
      <c r="L16">
        <v>10</v>
      </c>
      <c r="M16">
        <v>20</v>
      </c>
    </row>
    <row r="17" spans="1:13" x14ac:dyDescent="0.25">
      <c r="A17">
        <v>3482</v>
      </c>
      <c r="B17" t="s">
        <v>269</v>
      </c>
      <c r="C17" t="s">
        <v>18</v>
      </c>
      <c r="D17" s="15">
        <v>45599</v>
      </c>
      <c r="E17" t="s">
        <v>19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25">
      <c r="A18">
        <v>3478</v>
      </c>
      <c r="B18" t="s">
        <v>265</v>
      </c>
      <c r="C18" t="s">
        <v>22</v>
      </c>
      <c r="D18" s="15">
        <v>45595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 x14ac:dyDescent="0.25">
      <c r="A19">
        <v>3246</v>
      </c>
      <c r="B19" t="s">
        <v>44</v>
      </c>
      <c r="C19" t="s">
        <v>26</v>
      </c>
      <c r="D19" s="15">
        <v>45363</v>
      </c>
      <c r="E19" t="s">
        <v>19</v>
      </c>
      <c r="F19">
        <v>10</v>
      </c>
      <c r="G19" t="s">
        <v>24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25">
      <c r="A20">
        <v>3474</v>
      </c>
      <c r="B20" t="s">
        <v>261</v>
      </c>
      <c r="C20" t="s">
        <v>26</v>
      </c>
      <c r="D20" s="15">
        <v>45591</v>
      </c>
      <c r="E20" t="s">
        <v>19</v>
      </c>
      <c r="F20">
        <v>10</v>
      </c>
      <c r="G20" t="s">
        <v>24</v>
      </c>
      <c r="H20" t="s">
        <v>23</v>
      </c>
      <c r="I20" t="s">
        <v>311</v>
      </c>
      <c r="J20" t="s">
        <v>19</v>
      </c>
      <c r="K20">
        <v>20</v>
      </c>
      <c r="L20">
        <v>15</v>
      </c>
      <c r="M20">
        <v>15</v>
      </c>
    </row>
    <row r="21" spans="1:13" x14ac:dyDescent="0.25">
      <c r="A21">
        <v>3470</v>
      </c>
      <c r="B21" t="s">
        <v>258</v>
      </c>
      <c r="C21" t="s">
        <v>18</v>
      </c>
      <c r="D21" s="15">
        <v>45587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5</v>
      </c>
      <c r="M21">
        <v>60</v>
      </c>
    </row>
    <row r="22" spans="1:13" x14ac:dyDescent="0.25">
      <c r="A22">
        <v>3466</v>
      </c>
      <c r="B22" t="s">
        <v>254</v>
      </c>
      <c r="C22" t="s">
        <v>22</v>
      </c>
      <c r="D22" s="15">
        <v>45583</v>
      </c>
      <c r="E22" t="s">
        <v>19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25">
      <c r="A23">
        <v>3250</v>
      </c>
      <c r="B23" t="s">
        <v>48</v>
      </c>
      <c r="C23" t="s">
        <v>22</v>
      </c>
      <c r="D23" s="15">
        <v>45367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25">
      <c r="A24">
        <v>3462</v>
      </c>
      <c r="B24" t="s">
        <v>250</v>
      </c>
      <c r="C24" t="s">
        <v>26</v>
      </c>
      <c r="D24" s="15">
        <v>45579</v>
      </c>
      <c r="E24" t="s">
        <v>19</v>
      </c>
      <c r="F24">
        <v>10</v>
      </c>
      <c r="G24" t="s">
        <v>24</v>
      </c>
      <c r="H24" t="s">
        <v>23</v>
      </c>
      <c r="I24" t="s">
        <v>311</v>
      </c>
      <c r="J24" t="s">
        <v>19</v>
      </c>
      <c r="K24">
        <v>20</v>
      </c>
      <c r="L24">
        <v>15</v>
      </c>
      <c r="M24">
        <v>15</v>
      </c>
    </row>
    <row r="25" spans="1:13" x14ac:dyDescent="0.25">
      <c r="A25">
        <v>3458</v>
      </c>
      <c r="B25" t="s">
        <v>247</v>
      </c>
      <c r="C25" t="s">
        <v>18</v>
      </c>
      <c r="D25" s="15">
        <v>45575</v>
      </c>
      <c r="E25" t="s">
        <v>19</v>
      </c>
      <c r="F25">
        <v>15</v>
      </c>
      <c r="G25" t="s">
        <v>24</v>
      </c>
      <c r="H25" t="s">
        <v>19</v>
      </c>
      <c r="I25">
        <v>30</v>
      </c>
      <c r="J25" t="s">
        <v>19</v>
      </c>
      <c r="K25">
        <v>20</v>
      </c>
      <c r="L25">
        <v>3</v>
      </c>
      <c r="M25">
        <v>62</v>
      </c>
    </row>
    <row r="26" spans="1:13" x14ac:dyDescent="0.25">
      <c r="A26">
        <v>3454</v>
      </c>
      <c r="B26" t="s">
        <v>243</v>
      </c>
      <c r="C26" t="s">
        <v>22</v>
      </c>
      <c r="D26" s="15">
        <v>45571</v>
      </c>
      <c r="E26" t="s">
        <v>19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 x14ac:dyDescent="0.25">
      <c r="A27">
        <v>3254</v>
      </c>
      <c r="B27" t="s">
        <v>52</v>
      </c>
      <c r="C27" t="s">
        <v>18</v>
      </c>
      <c r="D27" s="15">
        <v>45371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25">
      <c r="A28">
        <v>3450</v>
      </c>
      <c r="B28" t="s">
        <v>241</v>
      </c>
      <c r="C28" t="s">
        <v>26</v>
      </c>
      <c r="D28" s="15">
        <v>45567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 x14ac:dyDescent="0.25">
      <c r="A29">
        <v>3446</v>
      </c>
      <c r="B29" t="s">
        <v>237</v>
      </c>
      <c r="C29" t="s">
        <v>18</v>
      </c>
      <c r="D29" s="15">
        <v>45563</v>
      </c>
      <c r="E29" t="s">
        <v>19</v>
      </c>
      <c r="F29">
        <v>15</v>
      </c>
      <c r="G29" t="s">
        <v>24</v>
      </c>
      <c r="H29" t="s">
        <v>19</v>
      </c>
      <c r="I29">
        <v>30</v>
      </c>
      <c r="J29" t="s">
        <v>19</v>
      </c>
      <c r="K29">
        <v>20</v>
      </c>
      <c r="L29">
        <v>5</v>
      </c>
      <c r="M29">
        <v>60</v>
      </c>
    </row>
    <row r="30" spans="1:13" x14ac:dyDescent="0.25">
      <c r="A30">
        <v>3442</v>
      </c>
      <c r="B30" t="s">
        <v>234</v>
      </c>
      <c r="C30" t="s">
        <v>22</v>
      </c>
      <c r="D30" s="15">
        <v>45559</v>
      </c>
      <c r="E30" t="s">
        <v>19</v>
      </c>
      <c r="F30">
        <v>5</v>
      </c>
      <c r="G30" t="s">
        <v>24</v>
      </c>
      <c r="H30" t="s">
        <v>23</v>
      </c>
      <c r="I30" t="s">
        <v>311</v>
      </c>
      <c r="J30" t="s">
        <v>23</v>
      </c>
      <c r="K30">
        <v>0</v>
      </c>
      <c r="L30">
        <v>0</v>
      </c>
      <c r="M30">
        <v>5</v>
      </c>
    </row>
    <row r="31" spans="1:13" x14ac:dyDescent="0.25">
      <c r="A31">
        <v>3258</v>
      </c>
      <c r="B31" t="s">
        <v>56</v>
      </c>
      <c r="C31" t="s">
        <v>26</v>
      </c>
      <c r="D31" s="15">
        <v>45375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15</v>
      </c>
      <c r="M31">
        <v>15</v>
      </c>
    </row>
    <row r="32" spans="1:13" x14ac:dyDescent="0.25">
      <c r="A32">
        <v>3438</v>
      </c>
      <c r="B32" t="s">
        <v>230</v>
      </c>
      <c r="C32" t="s">
        <v>26</v>
      </c>
      <c r="D32" s="15">
        <v>45555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10</v>
      </c>
      <c r="M32">
        <v>20</v>
      </c>
    </row>
    <row r="33" spans="1:13" x14ac:dyDescent="0.25">
      <c r="A33">
        <v>3432</v>
      </c>
      <c r="B33" t="s">
        <v>224</v>
      </c>
      <c r="C33" t="s">
        <v>26</v>
      </c>
      <c r="D33" s="15">
        <v>45549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 x14ac:dyDescent="0.25">
      <c r="A34">
        <v>3428</v>
      </c>
      <c r="B34" t="s">
        <v>220</v>
      </c>
      <c r="C34" t="s">
        <v>18</v>
      </c>
      <c r="D34" s="15">
        <v>45545</v>
      </c>
      <c r="E34" t="s">
        <v>19</v>
      </c>
      <c r="F34">
        <v>15</v>
      </c>
      <c r="G34" t="s">
        <v>24</v>
      </c>
      <c r="H34" t="s">
        <v>19</v>
      </c>
      <c r="I34">
        <v>30</v>
      </c>
      <c r="J34" t="s">
        <v>19</v>
      </c>
      <c r="K34">
        <v>20</v>
      </c>
      <c r="L34">
        <v>3</v>
      </c>
      <c r="M34">
        <v>62</v>
      </c>
    </row>
    <row r="35" spans="1:13" x14ac:dyDescent="0.25">
      <c r="A35">
        <v>3262</v>
      </c>
      <c r="B35" t="s">
        <v>60</v>
      </c>
      <c r="C35" t="s">
        <v>22</v>
      </c>
      <c r="D35" s="15">
        <v>45379</v>
      </c>
      <c r="E35" t="s">
        <v>19</v>
      </c>
      <c r="F35">
        <v>5</v>
      </c>
      <c r="G35" t="s">
        <v>24</v>
      </c>
      <c r="H35" t="s">
        <v>23</v>
      </c>
      <c r="I35" t="s">
        <v>311</v>
      </c>
      <c r="J35" t="s">
        <v>23</v>
      </c>
      <c r="K35">
        <v>0</v>
      </c>
      <c r="L35">
        <v>0</v>
      </c>
      <c r="M35">
        <v>5</v>
      </c>
    </row>
    <row r="36" spans="1:13" x14ac:dyDescent="0.25">
      <c r="A36">
        <v>3424</v>
      </c>
      <c r="B36" t="s">
        <v>43</v>
      </c>
      <c r="C36" t="s">
        <v>22</v>
      </c>
      <c r="D36" s="15">
        <v>45541</v>
      </c>
      <c r="E36" t="s">
        <v>19</v>
      </c>
      <c r="F36">
        <v>5</v>
      </c>
      <c r="G36" t="s">
        <v>24</v>
      </c>
      <c r="H36" t="s">
        <v>23</v>
      </c>
      <c r="I36" t="s">
        <v>311</v>
      </c>
      <c r="J36" t="s">
        <v>23</v>
      </c>
      <c r="K36">
        <v>0</v>
      </c>
      <c r="L36">
        <v>0</v>
      </c>
      <c r="M36">
        <v>5</v>
      </c>
    </row>
    <row r="37" spans="1:13" x14ac:dyDescent="0.25">
      <c r="A37">
        <v>3420</v>
      </c>
      <c r="B37" t="s">
        <v>215</v>
      </c>
      <c r="C37" t="s">
        <v>26</v>
      </c>
      <c r="D37" s="15">
        <v>45537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15</v>
      </c>
      <c r="M37">
        <v>15</v>
      </c>
    </row>
    <row r="38" spans="1:13" x14ac:dyDescent="0.25">
      <c r="A38">
        <v>3416</v>
      </c>
      <c r="B38" t="s">
        <v>211</v>
      </c>
      <c r="C38" t="s">
        <v>18</v>
      </c>
      <c r="D38" s="15">
        <v>45533</v>
      </c>
      <c r="E38" t="s">
        <v>19</v>
      </c>
      <c r="F38">
        <v>15</v>
      </c>
      <c r="G38" t="s">
        <v>24</v>
      </c>
      <c r="H38" t="s">
        <v>19</v>
      </c>
      <c r="I38">
        <v>30</v>
      </c>
      <c r="J38" t="s">
        <v>19</v>
      </c>
      <c r="K38">
        <v>20</v>
      </c>
      <c r="L38">
        <v>5</v>
      </c>
      <c r="M38">
        <v>60</v>
      </c>
    </row>
    <row r="39" spans="1:13" x14ac:dyDescent="0.25">
      <c r="A39">
        <v>3412</v>
      </c>
      <c r="B39" t="s">
        <v>207</v>
      </c>
      <c r="C39" t="s">
        <v>22</v>
      </c>
      <c r="D39" s="15">
        <v>45529</v>
      </c>
      <c r="E39" t="s">
        <v>19</v>
      </c>
      <c r="F39">
        <v>5</v>
      </c>
      <c r="G39" t="s">
        <v>24</v>
      </c>
      <c r="H39" t="s">
        <v>23</v>
      </c>
      <c r="I39" t="s">
        <v>311</v>
      </c>
      <c r="J39" t="s">
        <v>23</v>
      </c>
      <c r="K39">
        <v>0</v>
      </c>
      <c r="L39">
        <v>0</v>
      </c>
      <c r="M39">
        <v>5</v>
      </c>
    </row>
    <row r="40" spans="1:13" x14ac:dyDescent="0.25">
      <c r="A40">
        <v>3408</v>
      </c>
      <c r="B40" t="s">
        <v>203</v>
      </c>
      <c r="C40" t="s">
        <v>26</v>
      </c>
      <c r="D40" s="15">
        <v>45525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10</v>
      </c>
      <c r="M40">
        <v>20</v>
      </c>
    </row>
    <row r="41" spans="1:13" x14ac:dyDescent="0.25">
      <c r="A41">
        <v>3268</v>
      </c>
      <c r="B41" t="s">
        <v>66</v>
      </c>
      <c r="C41" t="s">
        <v>26</v>
      </c>
      <c r="D41" s="15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25">
      <c r="A42">
        <v>3404</v>
      </c>
      <c r="B42" t="s">
        <v>199</v>
      </c>
      <c r="C42" t="s">
        <v>26</v>
      </c>
      <c r="D42" s="15">
        <v>45521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25">
      <c r="A43">
        <v>3400</v>
      </c>
      <c r="B43" t="s">
        <v>195</v>
      </c>
      <c r="C43" t="s">
        <v>18</v>
      </c>
      <c r="D43" s="15">
        <v>45517</v>
      </c>
      <c r="E43" t="s">
        <v>19</v>
      </c>
      <c r="F43">
        <v>15</v>
      </c>
      <c r="G43" t="s">
        <v>24</v>
      </c>
      <c r="H43" t="s">
        <v>19</v>
      </c>
      <c r="I43">
        <v>30</v>
      </c>
      <c r="J43" t="s">
        <v>19</v>
      </c>
      <c r="K43">
        <v>20</v>
      </c>
      <c r="L43">
        <v>5</v>
      </c>
      <c r="M43">
        <v>60</v>
      </c>
    </row>
    <row r="44" spans="1:13" x14ac:dyDescent="0.25">
      <c r="A44">
        <v>3396</v>
      </c>
      <c r="B44" t="s">
        <v>192</v>
      </c>
      <c r="C44" t="s">
        <v>22</v>
      </c>
      <c r="D44" s="15">
        <v>45513</v>
      </c>
      <c r="E44" t="s">
        <v>19</v>
      </c>
      <c r="F44">
        <v>5</v>
      </c>
      <c r="G44" t="s">
        <v>24</v>
      </c>
      <c r="H44" t="s">
        <v>23</v>
      </c>
      <c r="I44" t="s">
        <v>311</v>
      </c>
      <c r="J44" t="s">
        <v>23</v>
      </c>
      <c r="K44">
        <v>0</v>
      </c>
      <c r="L44">
        <v>0</v>
      </c>
      <c r="M44">
        <v>5</v>
      </c>
    </row>
    <row r="45" spans="1:13" x14ac:dyDescent="0.25">
      <c r="A45">
        <v>3272</v>
      </c>
      <c r="B45" t="s">
        <v>70</v>
      </c>
      <c r="C45" t="s">
        <v>22</v>
      </c>
      <c r="D45" s="15">
        <v>45389</v>
      </c>
      <c r="E45" t="s">
        <v>19</v>
      </c>
      <c r="F45">
        <v>5</v>
      </c>
      <c r="G45" t="s">
        <v>24</v>
      </c>
      <c r="H45" t="s">
        <v>23</v>
      </c>
      <c r="I45" t="s">
        <v>311</v>
      </c>
      <c r="J45" t="s">
        <v>23</v>
      </c>
      <c r="K45">
        <v>0</v>
      </c>
      <c r="L45">
        <v>0</v>
      </c>
      <c r="M45">
        <v>5</v>
      </c>
    </row>
    <row r="46" spans="1:13" x14ac:dyDescent="0.25">
      <c r="A46">
        <v>3392</v>
      </c>
      <c r="B46" t="s">
        <v>188</v>
      </c>
      <c r="C46" t="s">
        <v>26</v>
      </c>
      <c r="D46" s="15">
        <v>45509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15</v>
      </c>
      <c r="M46">
        <v>15</v>
      </c>
    </row>
    <row r="47" spans="1:13" x14ac:dyDescent="0.25">
      <c r="A47">
        <v>3388</v>
      </c>
      <c r="B47" t="s">
        <v>185</v>
      </c>
      <c r="C47" t="s">
        <v>18</v>
      </c>
      <c r="D47" s="15">
        <v>45505</v>
      </c>
      <c r="E47" t="s">
        <v>19</v>
      </c>
      <c r="F47">
        <v>15</v>
      </c>
      <c r="G47" t="s">
        <v>24</v>
      </c>
      <c r="H47" t="s">
        <v>19</v>
      </c>
      <c r="I47">
        <v>30</v>
      </c>
      <c r="J47" t="s">
        <v>19</v>
      </c>
      <c r="K47">
        <v>20</v>
      </c>
      <c r="L47">
        <v>3</v>
      </c>
      <c r="M47">
        <v>62</v>
      </c>
    </row>
    <row r="48" spans="1:13" x14ac:dyDescent="0.25">
      <c r="A48">
        <v>3384</v>
      </c>
      <c r="B48" t="s">
        <v>181</v>
      </c>
      <c r="C48" t="s">
        <v>22</v>
      </c>
      <c r="D48" s="15">
        <v>45501</v>
      </c>
      <c r="E48" t="s">
        <v>19</v>
      </c>
      <c r="F48">
        <v>5</v>
      </c>
      <c r="G48" t="s">
        <v>24</v>
      </c>
      <c r="H48" t="s">
        <v>23</v>
      </c>
      <c r="I48" t="s">
        <v>311</v>
      </c>
      <c r="J48" t="s">
        <v>23</v>
      </c>
      <c r="K48">
        <v>0</v>
      </c>
      <c r="L48">
        <v>0</v>
      </c>
      <c r="M48">
        <v>5</v>
      </c>
    </row>
    <row r="49" spans="1:13" x14ac:dyDescent="0.25">
      <c r="A49">
        <v>3276</v>
      </c>
      <c r="B49" t="s">
        <v>74</v>
      </c>
      <c r="C49" t="s">
        <v>18</v>
      </c>
      <c r="D49" s="15">
        <v>45393</v>
      </c>
      <c r="E49" t="s">
        <v>19</v>
      </c>
      <c r="F49">
        <v>15</v>
      </c>
      <c r="G49" t="s">
        <v>24</v>
      </c>
      <c r="H49" t="s">
        <v>19</v>
      </c>
      <c r="I49">
        <v>30</v>
      </c>
      <c r="J49" t="s">
        <v>19</v>
      </c>
      <c r="K49">
        <v>20</v>
      </c>
      <c r="L49">
        <v>5</v>
      </c>
      <c r="M49">
        <v>60</v>
      </c>
    </row>
    <row r="50" spans="1:13" x14ac:dyDescent="0.25">
      <c r="A50">
        <v>3380</v>
      </c>
      <c r="B50" t="s">
        <v>177</v>
      </c>
      <c r="C50" t="s">
        <v>26</v>
      </c>
      <c r="D50" s="15">
        <v>45497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25">
      <c r="A51">
        <v>3376</v>
      </c>
      <c r="B51" t="s">
        <v>173</v>
      </c>
      <c r="C51" t="s">
        <v>18</v>
      </c>
      <c r="D51" s="15">
        <v>45493</v>
      </c>
      <c r="E51" t="s">
        <v>19</v>
      </c>
      <c r="F51">
        <v>15</v>
      </c>
      <c r="G51" t="s">
        <v>24</v>
      </c>
      <c r="H51" t="s">
        <v>19</v>
      </c>
      <c r="I51">
        <v>30</v>
      </c>
      <c r="J51" t="s">
        <v>19</v>
      </c>
      <c r="K51">
        <v>20</v>
      </c>
      <c r="L51">
        <v>5</v>
      </c>
      <c r="M51">
        <v>60</v>
      </c>
    </row>
    <row r="52" spans="1:13" x14ac:dyDescent="0.25">
      <c r="A52">
        <v>3372</v>
      </c>
      <c r="B52" t="s">
        <v>169</v>
      </c>
      <c r="C52" t="s">
        <v>22</v>
      </c>
      <c r="D52" s="15">
        <v>45489</v>
      </c>
      <c r="E52" t="s">
        <v>19</v>
      </c>
      <c r="F52">
        <v>5</v>
      </c>
      <c r="G52" t="s">
        <v>24</v>
      </c>
      <c r="H52" t="s">
        <v>23</v>
      </c>
      <c r="I52" t="s">
        <v>311</v>
      </c>
      <c r="J52" t="s">
        <v>23</v>
      </c>
      <c r="K52">
        <v>0</v>
      </c>
      <c r="L52">
        <v>0</v>
      </c>
      <c r="M52">
        <v>5</v>
      </c>
    </row>
    <row r="53" spans="1:13" x14ac:dyDescent="0.25">
      <c r="A53">
        <v>3280</v>
      </c>
      <c r="B53" t="s">
        <v>78</v>
      </c>
      <c r="C53" t="s">
        <v>26</v>
      </c>
      <c r="D53" s="15">
        <v>45397</v>
      </c>
      <c r="E53" t="s">
        <v>19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15</v>
      </c>
      <c r="M53">
        <v>15</v>
      </c>
    </row>
    <row r="54" spans="1:13" x14ac:dyDescent="0.25">
      <c r="A54">
        <v>3368</v>
      </c>
      <c r="B54" t="s">
        <v>165</v>
      </c>
      <c r="C54" t="s">
        <v>26</v>
      </c>
      <c r="D54" s="15">
        <v>45485</v>
      </c>
      <c r="E54" t="s">
        <v>19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10</v>
      </c>
      <c r="M54">
        <v>20</v>
      </c>
    </row>
    <row r="55" spans="1:13" x14ac:dyDescent="0.25">
      <c r="A55">
        <v>3362</v>
      </c>
      <c r="B55" t="s">
        <v>159</v>
      </c>
      <c r="C55" t="s">
        <v>26</v>
      </c>
      <c r="D55" s="15">
        <v>45479</v>
      </c>
      <c r="E55" t="s">
        <v>19</v>
      </c>
      <c r="F55">
        <v>10</v>
      </c>
      <c r="G55" t="s">
        <v>24</v>
      </c>
      <c r="H55" t="s">
        <v>23</v>
      </c>
      <c r="I55" t="s">
        <v>311</v>
      </c>
      <c r="J55" t="s">
        <v>19</v>
      </c>
      <c r="K55">
        <v>20</v>
      </c>
      <c r="L55">
        <v>15</v>
      </c>
      <c r="M55">
        <v>15</v>
      </c>
    </row>
    <row r="56" spans="1:13" x14ac:dyDescent="0.25">
      <c r="A56">
        <v>3358</v>
      </c>
      <c r="B56" t="s">
        <v>155</v>
      </c>
      <c r="C56" t="s">
        <v>18</v>
      </c>
      <c r="D56" s="15">
        <v>45475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 x14ac:dyDescent="0.25">
      <c r="A57">
        <v>3284</v>
      </c>
      <c r="B57" t="s">
        <v>82</v>
      </c>
      <c r="C57" t="s">
        <v>22</v>
      </c>
      <c r="D57" s="15">
        <v>45401</v>
      </c>
      <c r="E57" t="s">
        <v>19</v>
      </c>
      <c r="F57">
        <v>5</v>
      </c>
      <c r="G57" t="s">
        <v>24</v>
      </c>
      <c r="H57" t="s">
        <v>23</v>
      </c>
      <c r="I57" t="s">
        <v>311</v>
      </c>
      <c r="J57" t="s">
        <v>23</v>
      </c>
      <c r="K57">
        <v>0</v>
      </c>
      <c r="L57">
        <v>0</v>
      </c>
      <c r="M57">
        <v>5</v>
      </c>
    </row>
    <row r="58" spans="1:13" x14ac:dyDescent="0.25">
      <c r="A58">
        <v>3354</v>
      </c>
      <c r="B58" t="s">
        <v>151</v>
      </c>
      <c r="C58" t="s">
        <v>22</v>
      </c>
      <c r="D58" s="15">
        <v>45471</v>
      </c>
      <c r="E58" t="s">
        <v>19</v>
      </c>
      <c r="F58">
        <v>5</v>
      </c>
      <c r="G58" t="s">
        <v>24</v>
      </c>
      <c r="H58" t="s">
        <v>23</v>
      </c>
      <c r="I58" t="s">
        <v>311</v>
      </c>
      <c r="J58" t="s">
        <v>23</v>
      </c>
      <c r="K58">
        <v>0</v>
      </c>
      <c r="L58">
        <v>0</v>
      </c>
      <c r="M58">
        <v>5</v>
      </c>
    </row>
    <row r="59" spans="1:13" x14ac:dyDescent="0.25">
      <c r="A59">
        <v>3350</v>
      </c>
      <c r="B59" t="s">
        <v>147</v>
      </c>
      <c r="C59" t="s">
        <v>26</v>
      </c>
      <c r="D59" s="15">
        <v>45467</v>
      </c>
      <c r="E59" t="s">
        <v>19</v>
      </c>
      <c r="F59">
        <v>10</v>
      </c>
      <c r="G59" t="s">
        <v>24</v>
      </c>
      <c r="H59" t="s">
        <v>23</v>
      </c>
      <c r="I59" t="s">
        <v>311</v>
      </c>
      <c r="J59" t="s">
        <v>19</v>
      </c>
      <c r="K59">
        <v>20</v>
      </c>
      <c r="L59">
        <v>15</v>
      </c>
      <c r="M59">
        <v>15</v>
      </c>
    </row>
    <row r="60" spans="1:13" x14ac:dyDescent="0.25">
      <c r="A60">
        <v>3346</v>
      </c>
      <c r="B60" t="s">
        <v>144</v>
      </c>
      <c r="C60" t="s">
        <v>18</v>
      </c>
      <c r="D60" s="15">
        <v>45463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 x14ac:dyDescent="0.25">
      <c r="A61">
        <v>3288</v>
      </c>
      <c r="B61" t="s">
        <v>86</v>
      </c>
      <c r="C61" t="s">
        <v>18</v>
      </c>
      <c r="D61" s="15">
        <v>45405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25">
      <c r="A62">
        <v>3342</v>
      </c>
      <c r="B62" t="s">
        <v>140</v>
      </c>
      <c r="C62" t="s">
        <v>22</v>
      </c>
      <c r="D62" s="15">
        <v>45459</v>
      </c>
      <c r="E62" t="s">
        <v>19</v>
      </c>
      <c r="F62">
        <v>5</v>
      </c>
      <c r="G62" t="s">
        <v>24</v>
      </c>
      <c r="H62" t="s">
        <v>23</v>
      </c>
      <c r="I62" t="s">
        <v>311</v>
      </c>
      <c r="J62" t="s">
        <v>23</v>
      </c>
      <c r="K62">
        <v>0</v>
      </c>
      <c r="L62">
        <v>0</v>
      </c>
      <c r="M62">
        <v>5</v>
      </c>
    </row>
    <row r="63" spans="1:13" x14ac:dyDescent="0.25">
      <c r="A63">
        <v>3338</v>
      </c>
      <c r="B63" t="s">
        <v>136</v>
      </c>
      <c r="C63" t="s">
        <v>26</v>
      </c>
      <c r="D63" s="15">
        <v>45455</v>
      </c>
      <c r="E63" t="s">
        <v>19</v>
      </c>
      <c r="F63">
        <v>10</v>
      </c>
      <c r="G63" t="s">
        <v>24</v>
      </c>
      <c r="H63" t="s">
        <v>23</v>
      </c>
      <c r="I63" t="s">
        <v>311</v>
      </c>
      <c r="J63" t="s">
        <v>19</v>
      </c>
      <c r="K63">
        <v>20</v>
      </c>
      <c r="L63">
        <v>10</v>
      </c>
      <c r="M63">
        <v>20</v>
      </c>
    </row>
    <row r="64" spans="1:13" x14ac:dyDescent="0.25">
      <c r="A64">
        <v>3332</v>
      </c>
      <c r="B64" t="s">
        <v>130</v>
      </c>
      <c r="C64" t="s">
        <v>22</v>
      </c>
      <c r="D64" s="15">
        <v>45449</v>
      </c>
      <c r="E64" t="s">
        <v>23</v>
      </c>
      <c r="F64">
        <v>5</v>
      </c>
      <c r="G64" t="s">
        <v>24</v>
      </c>
      <c r="H64" t="s">
        <v>23</v>
      </c>
      <c r="I64" t="s">
        <v>311</v>
      </c>
      <c r="J64" t="s">
        <v>23</v>
      </c>
      <c r="K64">
        <v>0</v>
      </c>
      <c r="L64">
        <v>0</v>
      </c>
      <c r="M64">
        <v>5</v>
      </c>
    </row>
    <row r="65" spans="1:13" x14ac:dyDescent="0.25">
      <c r="A65">
        <v>3292</v>
      </c>
      <c r="B65" t="s">
        <v>90</v>
      </c>
      <c r="C65" t="s">
        <v>26</v>
      </c>
      <c r="D65" s="15">
        <v>45409</v>
      </c>
      <c r="E65" t="s">
        <v>19</v>
      </c>
      <c r="F65">
        <v>10</v>
      </c>
      <c r="G65" t="s">
        <v>24</v>
      </c>
      <c r="H65" t="s">
        <v>23</v>
      </c>
      <c r="I65" t="s">
        <v>311</v>
      </c>
      <c r="J65" t="s">
        <v>19</v>
      </c>
      <c r="K65">
        <v>20</v>
      </c>
      <c r="L65">
        <v>15</v>
      </c>
      <c r="M65">
        <v>15</v>
      </c>
    </row>
    <row r="66" spans="1:13" x14ac:dyDescent="0.25">
      <c r="A66">
        <v>3328</v>
      </c>
      <c r="B66" t="s">
        <v>126</v>
      </c>
      <c r="C66" t="s">
        <v>26</v>
      </c>
      <c r="D66" s="15">
        <v>45445</v>
      </c>
      <c r="E66" t="s">
        <v>23</v>
      </c>
      <c r="F66">
        <v>10</v>
      </c>
      <c r="G66" t="s">
        <v>24</v>
      </c>
      <c r="H66" t="s">
        <v>23</v>
      </c>
      <c r="I66" t="s">
        <v>311</v>
      </c>
      <c r="J66" t="s">
        <v>19</v>
      </c>
      <c r="K66">
        <v>20</v>
      </c>
      <c r="L66">
        <v>10</v>
      </c>
      <c r="M66">
        <v>20</v>
      </c>
    </row>
    <row r="67" spans="1:13" x14ac:dyDescent="0.25">
      <c r="A67">
        <v>3326</v>
      </c>
      <c r="B67" t="s">
        <v>124</v>
      </c>
      <c r="C67" t="s">
        <v>22</v>
      </c>
      <c r="D67" s="15">
        <v>45443</v>
      </c>
      <c r="E67" t="s">
        <v>23</v>
      </c>
      <c r="F67">
        <v>5</v>
      </c>
      <c r="G67" t="s">
        <v>24</v>
      </c>
      <c r="H67" t="s">
        <v>23</v>
      </c>
      <c r="I67" t="s">
        <v>311</v>
      </c>
      <c r="J67" t="s">
        <v>23</v>
      </c>
      <c r="K67">
        <v>0</v>
      </c>
      <c r="L67">
        <v>0</v>
      </c>
      <c r="M67">
        <v>5</v>
      </c>
    </row>
    <row r="68" spans="1:13" x14ac:dyDescent="0.25">
      <c r="A68">
        <v>3322</v>
      </c>
      <c r="B68" t="s">
        <v>120</v>
      </c>
      <c r="C68" t="s">
        <v>26</v>
      </c>
      <c r="D68" s="15">
        <v>45439</v>
      </c>
      <c r="E68" t="s">
        <v>23</v>
      </c>
      <c r="F68">
        <v>10</v>
      </c>
      <c r="G68" t="s">
        <v>24</v>
      </c>
      <c r="H68" t="s">
        <v>23</v>
      </c>
      <c r="I68" t="s">
        <v>311</v>
      </c>
      <c r="J68" t="s">
        <v>19</v>
      </c>
      <c r="K68">
        <v>20</v>
      </c>
      <c r="L68">
        <v>15</v>
      </c>
      <c r="M68">
        <v>15</v>
      </c>
    </row>
    <row r="69" spans="1:13" x14ac:dyDescent="0.25">
      <c r="A69">
        <v>3318</v>
      </c>
      <c r="B69" t="s">
        <v>116</v>
      </c>
      <c r="C69" t="s">
        <v>18</v>
      </c>
      <c r="D69" s="15">
        <v>45435</v>
      </c>
      <c r="E69" t="s">
        <v>23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3</v>
      </c>
      <c r="M69">
        <v>62</v>
      </c>
    </row>
    <row r="70" spans="1:13" x14ac:dyDescent="0.25">
      <c r="A70">
        <v>3314</v>
      </c>
      <c r="B70" t="s">
        <v>112</v>
      </c>
      <c r="C70" t="s">
        <v>22</v>
      </c>
      <c r="D70" s="15">
        <v>45431</v>
      </c>
      <c r="E70" t="s">
        <v>23</v>
      </c>
      <c r="F70">
        <v>5</v>
      </c>
      <c r="G70" t="s">
        <v>24</v>
      </c>
      <c r="H70" t="s">
        <v>23</v>
      </c>
      <c r="I70" t="s">
        <v>311</v>
      </c>
      <c r="J70" t="s">
        <v>23</v>
      </c>
      <c r="K70">
        <v>0</v>
      </c>
      <c r="L70">
        <v>0</v>
      </c>
      <c r="M70">
        <v>5</v>
      </c>
    </row>
    <row r="71" spans="1:13" x14ac:dyDescent="0.25">
      <c r="A71">
        <v>3298</v>
      </c>
      <c r="B71" t="s">
        <v>96</v>
      </c>
      <c r="C71" t="s">
        <v>26</v>
      </c>
      <c r="D71" s="15">
        <v>45415</v>
      </c>
      <c r="E71" t="s">
        <v>23</v>
      </c>
      <c r="F71">
        <v>10</v>
      </c>
      <c r="G71" t="s">
        <v>24</v>
      </c>
      <c r="H71" t="s">
        <v>23</v>
      </c>
      <c r="I71" t="s">
        <v>311</v>
      </c>
      <c r="J71" t="s">
        <v>19</v>
      </c>
      <c r="K71">
        <v>20</v>
      </c>
      <c r="L71">
        <v>10</v>
      </c>
      <c r="M71">
        <v>20</v>
      </c>
    </row>
    <row r="72" spans="1:13" x14ac:dyDescent="0.25">
      <c r="A72">
        <v>3310</v>
      </c>
      <c r="B72" t="s">
        <v>108</v>
      </c>
      <c r="C72" t="s">
        <v>26</v>
      </c>
      <c r="D72" s="15">
        <v>45427</v>
      </c>
      <c r="E72" t="s">
        <v>23</v>
      </c>
      <c r="F72">
        <v>10</v>
      </c>
      <c r="G72" t="s">
        <v>24</v>
      </c>
      <c r="H72" t="s">
        <v>23</v>
      </c>
      <c r="I72" t="s">
        <v>311</v>
      </c>
      <c r="J72" t="s">
        <v>19</v>
      </c>
      <c r="K72">
        <v>20</v>
      </c>
      <c r="L72">
        <v>15</v>
      </c>
      <c r="M72">
        <v>15</v>
      </c>
    </row>
    <row r="73" spans="1:13" x14ac:dyDescent="0.25">
      <c r="A73">
        <v>3306</v>
      </c>
      <c r="B73" t="s">
        <v>104</v>
      </c>
      <c r="C73" t="s">
        <v>18</v>
      </c>
      <c r="D73" s="15">
        <v>45423</v>
      </c>
      <c r="E73" t="s">
        <v>23</v>
      </c>
      <c r="F73">
        <v>15</v>
      </c>
      <c r="G73" t="s">
        <v>24</v>
      </c>
      <c r="H73" t="s">
        <v>19</v>
      </c>
      <c r="I73">
        <v>30</v>
      </c>
      <c r="J73" t="s">
        <v>19</v>
      </c>
      <c r="K73">
        <v>20</v>
      </c>
      <c r="L73">
        <v>5</v>
      </c>
      <c r="M73">
        <v>60</v>
      </c>
    </row>
    <row r="74" spans="1:13" x14ac:dyDescent="0.25">
      <c r="A74">
        <v>3302</v>
      </c>
      <c r="B74" t="s">
        <v>100</v>
      </c>
      <c r="C74" t="s">
        <v>22</v>
      </c>
      <c r="D74" s="15">
        <v>45419</v>
      </c>
      <c r="E74" t="s">
        <v>23</v>
      </c>
      <c r="F74">
        <v>5</v>
      </c>
      <c r="G74" t="s">
        <v>24</v>
      </c>
      <c r="H74" t="s">
        <v>23</v>
      </c>
      <c r="I74" t="s">
        <v>311</v>
      </c>
      <c r="J74" t="s">
        <v>23</v>
      </c>
      <c r="K74">
        <v>0</v>
      </c>
      <c r="L74">
        <v>0</v>
      </c>
      <c r="M74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58"/>
  <sheetViews>
    <sheetView showGridLines="0" topLeftCell="A28" workbookViewId="0">
      <selection activeCell="J59" sqref="J59"/>
    </sheetView>
  </sheetViews>
  <sheetFormatPr defaultRowHeight="15" x14ac:dyDescent="0.25"/>
  <cols>
    <col min="2" max="3" width="18.42578125" bestFit="1" customWidth="1"/>
    <col min="4" max="4" width="30.5703125" bestFit="1" customWidth="1"/>
    <col min="5" max="5" width="14.28515625" customWidth="1"/>
    <col min="6" max="6" width="19.140625" bestFit="1" customWidth="1"/>
    <col min="7" max="7" width="27.7109375" bestFit="1" customWidth="1"/>
    <col min="8" max="8" width="1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6" spans="2:3" x14ac:dyDescent="0.25">
      <c r="B6" t="s">
        <v>318</v>
      </c>
    </row>
    <row r="7" spans="2:3" x14ac:dyDescent="0.25">
      <c r="B7" t="s">
        <v>319</v>
      </c>
    </row>
    <row r="10" spans="2:3" x14ac:dyDescent="0.25">
      <c r="B10" s="12" t="s">
        <v>16</v>
      </c>
      <c r="C10" t="s">
        <v>24</v>
      </c>
    </row>
    <row r="12" spans="2:3" x14ac:dyDescent="0.25">
      <c r="B12" s="12" t="s">
        <v>314</v>
      </c>
      <c r="C12" t="s">
        <v>316</v>
      </c>
    </row>
    <row r="13" spans="2:3" x14ac:dyDescent="0.25">
      <c r="B13" s="13" t="s">
        <v>23</v>
      </c>
      <c r="C13" s="14">
        <v>217</v>
      </c>
    </row>
    <row r="14" spans="2:3" x14ac:dyDescent="0.25">
      <c r="B14" s="13" t="s">
        <v>19</v>
      </c>
      <c r="C14" s="14">
        <v>1537</v>
      </c>
    </row>
    <row r="15" spans="2:3" x14ac:dyDescent="0.25">
      <c r="B15" s="13" t="s">
        <v>315</v>
      </c>
      <c r="C15" s="14">
        <v>1754</v>
      </c>
    </row>
    <row r="20" spans="2:6" x14ac:dyDescent="0.25">
      <c r="B20" t="s">
        <v>321</v>
      </c>
    </row>
    <row r="22" spans="2:6" x14ac:dyDescent="0.25">
      <c r="B22" s="12" t="s">
        <v>16</v>
      </c>
      <c r="C22" t="s">
        <v>24</v>
      </c>
    </row>
    <row r="24" spans="2:6" x14ac:dyDescent="0.25">
      <c r="B24" s="12" t="s">
        <v>314</v>
      </c>
      <c r="C24" t="s">
        <v>322</v>
      </c>
    </row>
    <row r="25" spans="2:6" x14ac:dyDescent="0.25">
      <c r="B25" s="13" t="s">
        <v>22</v>
      </c>
      <c r="C25" s="20">
        <v>0</v>
      </c>
    </row>
    <row r="26" spans="2:6" x14ac:dyDescent="0.25">
      <c r="B26" s="13" t="s">
        <v>26</v>
      </c>
      <c r="C26" s="20">
        <v>0</v>
      </c>
    </row>
    <row r="27" spans="2:6" x14ac:dyDescent="0.25">
      <c r="B27" s="13" t="s">
        <v>18</v>
      </c>
      <c r="C27" s="20">
        <v>600</v>
      </c>
    </row>
    <row r="28" spans="2:6" ht="16.5" x14ac:dyDescent="0.3">
      <c r="B28" s="13" t="s">
        <v>315</v>
      </c>
      <c r="C28" s="20">
        <v>600</v>
      </c>
      <c r="F28" s="22">
        <f>GETPIVOTDATA("EA Play Season Pass
Price",$B$24)</f>
        <v>600</v>
      </c>
    </row>
    <row r="32" spans="2:6" x14ac:dyDescent="0.25">
      <c r="B32" t="s">
        <v>323</v>
      </c>
    </row>
    <row r="34" spans="2:6" x14ac:dyDescent="0.25">
      <c r="B34" s="12" t="s">
        <v>16</v>
      </c>
      <c r="C34" t="s">
        <v>24</v>
      </c>
    </row>
    <row r="36" spans="2:6" x14ac:dyDescent="0.25">
      <c r="B36" s="12" t="s">
        <v>314</v>
      </c>
      <c r="C36" t="s">
        <v>324</v>
      </c>
    </row>
    <row r="37" spans="2:6" x14ac:dyDescent="0.25">
      <c r="B37" s="13" t="s">
        <v>22</v>
      </c>
      <c r="C37" s="14">
        <v>0</v>
      </c>
    </row>
    <row r="38" spans="2:6" x14ac:dyDescent="0.25">
      <c r="B38" s="13" t="s">
        <v>26</v>
      </c>
      <c r="C38" s="14">
        <v>540</v>
      </c>
    </row>
    <row r="39" spans="2:6" x14ac:dyDescent="0.25">
      <c r="B39" s="13" t="s">
        <v>18</v>
      </c>
      <c r="C39" s="14">
        <v>400</v>
      </c>
    </row>
    <row r="40" spans="2:6" x14ac:dyDescent="0.25">
      <c r="B40" s="13" t="s">
        <v>315</v>
      </c>
      <c r="C40" s="14">
        <v>940</v>
      </c>
      <c r="F40" s="24">
        <f>GETPIVOTDATA("Minecraft Season Pass Price",$B$36)</f>
        <v>940</v>
      </c>
    </row>
    <row r="44" spans="2:6" x14ac:dyDescent="0.25">
      <c r="B44" t="s">
        <v>326</v>
      </c>
    </row>
    <row r="46" spans="2:6" x14ac:dyDescent="0.25">
      <c r="B46" s="12" t="s">
        <v>16</v>
      </c>
      <c r="C46" t="s">
        <v>24</v>
      </c>
    </row>
    <row r="48" spans="2:6" x14ac:dyDescent="0.25">
      <c r="B48" s="12" t="s">
        <v>314</v>
      </c>
      <c r="C48" t="s">
        <v>327</v>
      </c>
      <c r="D48" t="s">
        <v>316</v>
      </c>
    </row>
    <row r="49" spans="2:9" x14ac:dyDescent="0.25">
      <c r="B49" s="13" t="s">
        <v>22</v>
      </c>
      <c r="C49" s="20">
        <v>24</v>
      </c>
      <c r="D49" s="14">
        <v>120</v>
      </c>
    </row>
    <row r="50" spans="2:9" x14ac:dyDescent="0.25">
      <c r="B50" s="13" t="s">
        <v>26</v>
      </c>
      <c r="C50" s="20">
        <v>27</v>
      </c>
      <c r="D50" s="14">
        <v>448</v>
      </c>
      <c r="G50" s="28" t="s">
        <v>13</v>
      </c>
      <c r="H50" s="28" t="s">
        <v>330</v>
      </c>
      <c r="I50" s="28" t="s">
        <v>328</v>
      </c>
    </row>
    <row r="51" spans="2:9" x14ac:dyDescent="0.25">
      <c r="B51" s="13" t="s">
        <v>18</v>
      </c>
      <c r="C51" s="20">
        <v>20</v>
      </c>
      <c r="D51" s="14">
        <v>1186</v>
      </c>
      <c r="G51" t="s">
        <v>22</v>
      </c>
      <c r="H51">
        <v>24</v>
      </c>
      <c r="I51" s="21">
        <f>GETPIVOTDATA("Soma de Total Value",$B$48,"Plan","Core")/GETPIVOTDATA("Contagem de Plan",$B$48,"Plan","Core")</f>
        <v>5</v>
      </c>
    </row>
    <row r="52" spans="2:9" x14ac:dyDescent="0.25">
      <c r="B52" s="13" t="s">
        <v>315</v>
      </c>
      <c r="C52" s="20">
        <v>71</v>
      </c>
      <c r="D52" s="14">
        <v>1754</v>
      </c>
      <c r="G52" t="s">
        <v>26</v>
      </c>
      <c r="H52">
        <v>27</v>
      </c>
      <c r="I52" s="21">
        <f>GETPIVOTDATA("Soma de Total Value",$B$48,"Plan","Standard")/GETPIVOTDATA("Contagem de Plan",$B$48,"Plan","Standard")</f>
        <v>16.592592592592592</v>
      </c>
    </row>
    <row r="53" spans="2:9" x14ac:dyDescent="0.25">
      <c r="G53" t="s">
        <v>18</v>
      </c>
      <c r="H53">
        <v>20</v>
      </c>
      <c r="I53" s="21">
        <f>GETPIVOTDATA("Soma de Total Value",$B$48,"Plan","Ultimate")/GETPIVOTDATA("Contagem de Plan",$B$48,"Plan","Ultimate")</f>
        <v>59.3</v>
      </c>
    </row>
    <row r="54" spans="2:9" x14ac:dyDescent="0.25">
      <c r="G54" t="s">
        <v>329</v>
      </c>
      <c r="H54">
        <v>71</v>
      </c>
      <c r="I54" s="21">
        <f>GETPIVOTDATA("Soma de Total Value",$B$48)/GETPIVOTDATA("Contagem de Plan",$B$48)</f>
        <v>24.704225352112676</v>
      </c>
    </row>
    <row r="56" spans="2:9" x14ac:dyDescent="0.25">
      <c r="G56" s="27"/>
    </row>
    <row r="57" spans="2:9" x14ac:dyDescent="0.25">
      <c r="G57" s="27"/>
    </row>
    <row r="58" spans="2:9" x14ac:dyDescent="0.25">
      <c r="G58" s="27"/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9"/>
  <sheetViews>
    <sheetView showGridLines="0" showRowColHeaders="0" tabSelected="1" zoomScale="70" zoomScaleNormal="70" workbookViewId="0">
      <selection activeCell="AI23" sqref="AI23"/>
    </sheetView>
  </sheetViews>
  <sheetFormatPr defaultRowHeight="15" x14ac:dyDescent="0.25"/>
  <cols>
    <col min="1" max="1" width="31.140625" style="4" customWidth="1"/>
    <col min="2" max="2" width="3.5703125" style="23" customWidth="1"/>
    <col min="3" max="11" width="9.140625" style="23"/>
    <col min="12" max="12" width="6.5703125" style="23" customWidth="1"/>
    <col min="13" max="16384" width="9.140625" style="23"/>
  </cols>
  <sheetData>
    <row r="1" spans="1:17" customFormat="1" x14ac:dyDescent="0.25">
      <c r="A1" s="4"/>
    </row>
    <row r="2" spans="1:17" customFormat="1" ht="22.5" customHeight="1" thickBot="1" x14ac:dyDescent="0.35">
      <c r="A2" s="4"/>
      <c r="C2" s="25" t="s">
        <v>320</v>
      </c>
      <c r="D2" s="17"/>
      <c r="E2" s="17"/>
      <c r="F2" s="17"/>
      <c r="G2" s="17"/>
      <c r="H2" s="17"/>
      <c r="I2" s="18"/>
      <c r="J2" s="18"/>
      <c r="K2" s="18"/>
      <c r="L2" s="18"/>
      <c r="M2" s="19"/>
      <c r="N2" s="19"/>
      <c r="O2" s="19"/>
      <c r="P2" s="19"/>
      <c r="Q2" s="19"/>
    </row>
    <row r="3" spans="1:17" ht="8.25" customHeight="1" thickTop="1" x14ac:dyDescent="0.25"/>
    <row r="4" spans="1:17" ht="7.5" customHeight="1" x14ac:dyDescent="0.25"/>
    <row r="5" spans="1:17" ht="7.5" customHeight="1" x14ac:dyDescent="0.25"/>
    <row r="6" spans="1:17" ht="7.5" customHeight="1" x14ac:dyDescent="0.25"/>
    <row r="7" spans="1:17" ht="18.75" customHeight="1" x14ac:dyDescent="0.35">
      <c r="C7" s="26" t="s">
        <v>325</v>
      </c>
    </row>
    <row r="8" spans="1:17" ht="9.75" customHeight="1" x14ac:dyDescent="0.25"/>
    <row r="9" spans="1:1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Breno Martins</cp:lastModifiedBy>
  <dcterms:created xsi:type="dcterms:W3CDTF">2024-12-19T13:13:10Z</dcterms:created>
  <dcterms:modified xsi:type="dcterms:W3CDTF">2026-10-18T03:35:37Z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